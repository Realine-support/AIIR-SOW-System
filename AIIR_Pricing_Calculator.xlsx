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C0000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0F0FF"/>
      </patternFill>
    </fill>
    <fill>
      <patternFill patternType="solid">
        <fgColor rgb="00FFE0E0"/>
      </patternFill>
    </fill>
    <fill>
      <patternFill patternType="solid">
        <fgColor rgb="00FFFF00"/>
      </patternFill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6" customWidth="1" min="3" max="3"/>
    <col width="22" customWidth="1" min="4" max="4"/>
    <col width="14" customWidth="1" min="5" max="5"/>
    <col width="14" customWidth="1" min="6" max="6"/>
    <col width="28" customWidth="1" min="7" max="7"/>
    <col width="22" customWidth="1" min="8" max="8"/>
  </cols>
  <sheetData>
    <row r="1">
      <c r="A1" s="1" t="inlineStr">
        <is>
          <t>AIIR Pricing Calculator</t>
        </is>
      </c>
    </row>
    <row r="2">
      <c r="A2" t="inlineStr">
        <is>
          <t>Selected Tier</t>
        </is>
      </c>
      <c r="B2" t="inlineStr">
        <is>
          <t>IGNITE</t>
        </is>
      </c>
    </row>
    <row r="3">
      <c r="A3" t="inlineStr">
        <is>
          <t>Engagement Date</t>
        </is>
      </c>
      <c r="B3" t="inlineStr"/>
    </row>
    <row r="13">
      <c r="A13" s="2" t="inlineStr">
        <is>
          <t>-- PRICING INPUTS --</t>
        </is>
      </c>
    </row>
    <row r="14">
      <c r="A14" t="inlineStr">
        <is>
          <t>Tier</t>
        </is>
      </c>
      <c r="B14" t="inlineStr">
        <is>
          <t>IGNITE</t>
        </is>
      </c>
    </row>
    <row r="15">
      <c r="A15" t="inlineStr">
        <is>
          <t>Coaching Bill Rate</t>
        </is>
      </c>
      <c r="B15" s="3" t="n">
        <v>350</v>
      </c>
    </row>
    <row r="16">
      <c r="A16" t="inlineStr">
        <is>
          <t>Margin</t>
        </is>
      </c>
      <c r="B16" s="4" t="n">
        <v>0.65</v>
      </c>
      <c r="C16" s="5" t="inlineStr">
        <is>
          <t>&lt;-- ALWAYS 0.65 -- do not change</t>
        </is>
      </c>
    </row>
    <row r="17">
      <c r="A17" t="inlineStr">
        <is>
          <t>CZ Rate IGNITE</t>
        </is>
      </c>
      <c r="B17" t="n">
        <v>75</v>
      </c>
    </row>
    <row r="18">
      <c r="A18" t="inlineStr">
        <is>
          <t>CZ Rate ASCENT/VISTA</t>
        </is>
      </c>
      <c r="B18" t="n">
        <v>50</v>
      </c>
    </row>
    <row r="20">
      <c r="A20" s="2" t="inlineStr">
        <is>
          <t>-- ROADMAP TIER (reference) --</t>
        </is>
      </c>
    </row>
    <row r="21">
      <c r="A21" s="2" t="inlineStr">
        <is>
          <t>Session</t>
        </is>
      </c>
      <c r="B21" s="2" t="inlineStr">
        <is>
          <t>Hours</t>
        </is>
      </c>
    </row>
    <row r="22">
      <c r="A22" t="inlineStr">
        <is>
          <t>Initial Coaching Session</t>
        </is>
      </c>
      <c r="B22" t="n">
        <v>0.5</v>
      </c>
    </row>
    <row r="23">
      <c r="A23" t="inlineStr">
        <is>
          <t>Stakeholder 1: ASM</t>
        </is>
      </c>
      <c r="B23" t="n">
        <v>1</v>
      </c>
    </row>
    <row r="24">
      <c r="A24" t="inlineStr">
        <is>
          <t>Dev History Interview</t>
        </is>
      </c>
      <c r="B24" t="n">
        <v>2</v>
      </c>
    </row>
    <row r="25">
      <c r="A25" t="inlineStr">
        <is>
          <t>Interview-Based 360</t>
        </is>
      </c>
      <c r="B25" t="n">
        <v>3.75</v>
      </c>
      <c r="D25" t="inlineStr">
        <is>
          <t>CZ Fee (months)</t>
        </is>
      </c>
      <c r="E25" t="n">
        <v>6</v>
      </c>
    </row>
    <row r="26">
      <c r="A26" t="inlineStr">
        <is>
          <t>Assessment Feedback</t>
        </is>
      </c>
      <c r="B26" t="n">
        <v>2</v>
      </c>
    </row>
    <row r="27">
      <c r="A27" t="inlineStr">
        <is>
          <t>Dev Planning Session</t>
        </is>
      </c>
      <c r="B27" t="n">
        <v>1</v>
      </c>
    </row>
    <row r="28">
      <c r="A28" t="inlineStr">
        <is>
          <t>Stakeholder 2: SDP</t>
        </is>
      </c>
      <c r="B28" t="n">
        <v>1</v>
      </c>
    </row>
    <row r="29">
      <c r="A29" t="inlineStr">
        <is>
          <t>Implementation Sessions</t>
        </is>
      </c>
      <c r="B29" t="n">
        <v>5</v>
      </c>
    </row>
    <row r="30">
      <c r="A30" t="inlineStr">
        <is>
          <t>Stakeholder 3: Midpoint</t>
        </is>
      </c>
      <c r="B30" t="n">
        <v>1</v>
      </c>
    </row>
    <row r="31">
      <c r="A31" t="inlineStr">
        <is>
          <t>Stakeholder 4: Wrap-Up</t>
        </is>
      </c>
      <c r="B31" t="n">
        <v>1</v>
      </c>
    </row>
    <row r="32">
      <c r="A32" s="2" t="inlineStr">
        <is>
          <t>Total Hours (ROADMAP)</t>
        </is>
      </c>
      <c r="B32" s="2">
        <f>SUM(B22:B31)</f>
        <v/>
      </c>
    </row>
    <row r="35">
      <c r="A35" s="2" t="inlineStr">
        <is>
          <t>-- IGNITE TIER (ACTIVE CALCULATION AREA) --</t>
        </is>
      </c>
    </row>
    <row r="36">
      <c r="A36" s="2" t="inlineStr">
        <is>
          <t>Session</t>
        </is>
      </c>
      <c r="B36" s="2" t="inlineStr">
        <is>
          <t>Hours</t>
        </is>
      </c>
      <c r="E36" s="2" t="inlineStr">
        <is>
          <t>Fee/Months</t>
        </is>
      </c>
    </row>
    <row r="37">
      <c r="A37" t="inlineStr">
        <is>
          <t>Initial Coaching Session</t>
        </is>
      </c>
      <c r="B37" t="n">
        <v>0.5</v>
      </c>
      <c r="C37" t="inlineStr">
        <is>
          <t>fixed</t>
        </is>
      </c>
      <c r="D37" t="inlineStr">
        <is>
          <t>CZ Fee (months)</t>
        </is>
      </c>
      <c r="E37" t="n">
        <v>9</v>
      </c>
    </row>
    <row r="38">
      <c r="A38" t="inlineStr">
        <is>
          <t>Stakeholder 1: ASM</t>
        </is>
      </c>
      <c r="B38" t="n">
        <v>1</v>
      </c>
      <c r="C38" t="inlineStr">
        <is>
          <t>Default: 1hr | Min: 30min</t>
        </is>
      </c>
      <c r="D38" t="inlineStr">
        <is>
          <t>CZ Rate/mo</t>
        </is>
      </c>
      <c r="F38" t="n">
        <v>75</v>
      </c>
    </row>
    <row r="39">
      <c r="A39" t="inlineStr">
        <is>
          <t>Dev History Interview</t>
        </is>
      </c>
      <c r="B39" t="n">
        <v>2</v>
      </c>
      <c r="C39" t="inlineStr">
        <is>
          <t>Default: 2hr | Min: 90min</t>
        </is>
      </c>
    </row>
    <row r="40">
      <c r="A40" t="inlineStr">
        <is>
          <t>Interview-Based 360</t>
        </is>
      </c>
      <c r="B40" t="n">
        <v>6</v>
      </c>
      <c r="C40" t="inlineStr">
        <is>
          <t>Default: 8x45min=6hr | Min: 5x45min=3.75hr</t>
        </is>
      </c>
    </row>
    <row r="41">
      <c r="A41" t="inlineStr">
        <is>
          <t>Assessment Feedback</t>
        </is>
      </c>
      <c r="B41" t="n">
        <v>2</v>
      </c>
      <c r="C41" t="inlineStr">
        <is>
          <t>Default: 2hr | Min: 90min</t>
        </is>
      </c>
    </row>
    <row r="42">
      <c r="A42" t="inlineStr">
        <is>
          <t>Dev Planning Session</t>
        </is>
      </c>
      <c r="B42" t="n">
        <v>1</v>
      </c>
      <c r="C42" t="inlineStr">
        <is>
          <t>Default: 1hr | Min: 0hr</t>
        </is>
      </c>
    </row>
    <row r="43">
      <c r="A43" t="inlineStr">
        <is>
          <t>Stakeholder 2: SDP</t>
        </is>
      </c>
      <c r="B43" t="n">
        <v>1</v>
      </c>
      <c r="C43" t="inlineStr">
        <is>
          <t>Default: 1hr | Min: 30min</t>
        </is>
      </c>
    </row>
    <row r="44">
      <c r="A44" t="inlineStr">
        <is>
          <t>Implementation Sessions</t>
        </is>
      </c>
      <c r="B44" t="n">
        <v>8</v>
      </c>
      <c r="C44" t="inlineStr">
        <is>
          <t>Default: 8x1hr</t>
        </is>
      </c>
      <c r="G44" t="inlineStr">
        <is>
          <t>CZ Fee</t>
        </is>
      </c>
      <c r="H44">
        <f>E37*F38</f>
        <v/>
      </c>
    </row>
    <row r="45">
      <c r="A45" t="inlineStr">
        <is>
          <t>Stakeholder 3: Midpoint</t>
        </is>
      </c>
      <c r="B45" t="n">
        <v>1</v>
      </c>
      <c r="C45" t="inlineStr">
        <is>
          <t>Default: 1hr | Min: 30min</t>
        </is>
      </c>
      <c r="G45" s="3" t="inlineStr">
        <is>
          <t>Fixed Assessment Fees</t>
        </is>
      </c>
      <c r="H45" s="3" t="n">
        <v>450</v>
      </c>
      <c r="I45" s="5" t="inlineStr">
        <is>
          <t>&lt;-- n8n writes this per tier</t>
        </is>
      </c>
    </row>
    <row r="46">
      <c r="A46" t="inlineStr">
        <is>
          <t>Stakeholder 4: Wrap-Up</t>
        </is>
      </c>
      <c r="B46" t="n">
        <v>1</v>
      </c>
      <c r="C46" t="inlineStr">
        <is>
          <t>Default: 1hr | Min: 30min</t>
        </is>
      </c>
    </row>
    <row r="47">
      <c r="A47" s="2" t="inlineStr">
        <is>
          <t>Total Coaching Hours</t>
        </is>
      </c>
      <c r="B47" s="2">
        <f>SUM(B37:B46)</f>
        <v/>
      </c>
      <c r="G47" t="inlineStr">
        <is>
          <t>Services incl. Margin</t>
        </is>
      </c>
      <c r="H47">
        <f>B50/(1-B16)</f>
        <v/>
      </c>
    </row>
    <row r="48">
      <c r="A48" t="inlineStr">
        <is>
          <t>Total Coach Cost</t>
        </is>
      </c>
      <c r="B48">
        <f>B47*B15</f>
        <v/>
      </c>
      <c r="G48" s="2" t="inlineStr">
        <is>
          <t>Total per Participant</t>
        </is>
      </c>
      <c r="H48" s="2">
        <f>H44+H45+H47</f>
        <v/>
      </c>
    </row>
    <row r="49">
      <c r="A49" t="inlineStr">
        <is>
          <t>PM Fee (12%)</t>
        </is>
      </c>
      <c r="B49">
        <f>B48*0.12</f>
        <v/>
      </c>
      <c r="G49" s="6" t="inlineStr">
        <is>
          <t>Number of Participants</t>
        </is>
      </c>
      <c r="H49" t="inlineStr"/>
    </row>
    <row r="50">
      <c r="A50" t="inlineStr">
        <is>
          <t>Total Services (no margin)</t>
        </is>
      </c>
      <c r="B50">
        <f>B48+B49</f>
        <v/>
      </c>
      <c r="G50" s="2" t="inlineStr">
        <is>
          <t>TOTAL ENGAGEMENT PRICE</t>
        </is>
      </c>
      <c r="H50" s="7">
        <f>IF(H49="",H48,H48*H49)</f>
        <v/>
      </c>
    </row>
    <row r="53">
      <c r="A53" s="2" t="inlineStr">
        <is>
          <t>-- ASCENT TIER (reference) --</t>
        </is>
      </c>
    </row>
    <row r="54">
      <c r="A54" t="inlineStr">
        <is>
          <t>Initial Coaching Session</t>
        </is>
      </c>
      <c r="B54" t="n">
        <v>0.5</v>
      </c>
    </row>
    <row r="55">
      <c r="A55" t="inlineStr">
        <is>
          <t>Stakeholder 1: ASM</t>
        </is>
      </c>
      <c r="B55" t="n">
        <v>1</v>
      </c>
    </row>
    <row r="56">
      <c r="A56" t="inlineStr">
        <is>
          <t>Dev History Interview</t>
        </is>
      </c>
      <c r="B56" t="n">
        <v>2</v>
      </c>
    </row>
    <row r="57">
      <c r="A57" t="inlineStr">
        <is>
          <t>Interview-Based 360</t>
        </is>
      </c>
      <c r="B57" t="n">
        <v>9</v>
      </c>
    </row>
    <row r="58">
      <c r="A58" t="inlineStr">
        <is>
          <t>Assessment Feedback</t>
        </is>
      </c>
      <c r="B58" t="n">
        <v>2</v>
      </c>
      <c r="D58" t="inlineStr">
        <is>
          <t>CZ Fee (months)</t>
        </is>
      </c>
      <c r="E58" t="n">
        <v>12</v>
      </c>
    </row>
    <row r="59">
      <c r="A59" t="inlineStr">
        <is>
          <t>Dev Planning Session</t>
        </is>
      </c>
      <c r="B59" t="n">
        <v>1</v>
      </c>
    </row>
    <row r="60">
      <c r="A60" t="inlineStr">
        <is>
          <t>Stakeholder 2: SDP</t>
        </is>
      </c>
      <c r="B60" t="n">
        <v>1</v>
      </c>
    </row>
    <row r="61">
      <c r="A61" t="inlineStr">
        <is>
          <t>Implementation Sessions</t>
        </is>
      </c>
      <c r="B61" t="n">
        <v>12</v>
      </c>
    </row>
    <row r="62">
      <c r="A62" t="inlineStr">
        <is>
          <t>Stakeholder 3: Midpoint</t>
        </is>
      </c>
      <c r="B62" t="n">
        <v>1</v>
      </c>
    </row>
    <row r="63">
      <c r="A63" t="inlineStr">
        <is>
          <t>Stakeholder 4: Wrap-Up</t>
        </is>
      </c>
      <c r="B63" t="n">
        <v>1</v>
      </c>
    </row>
    <row r="70">
      <c r="A70" s="2" t="inlineStr">
        <is>
          <t>-- SPARK I TIER (reference) --</t>
        </is>
      </c>
    </row>
    <row r="71">
      <c r="A71" t="inlineStr">
        <is>
          <t>Initial Coaching Session</t>
        </is>
      </c>
      <c r="B71" t="n">
        <v>0.5</v>
      </c>
    </row>
    <row r="72">
      <c r="A72" t="inlineStr">
        <is>
          <t>Stakeholder 1: ASM</t>
        </is>
      </c>
      <c r="B72" t="n">
        <v>1</v>
      </c>
    </row>
    <row r="73">
      <c r="A73" t="inlineStr">
        <is>
          <t>Dev History (Survey $60 - NO interview)</t>
        </is>
      </c>
      <c r="B73" t="n">
        <v>0</v>
      </c>
    </row>
    <row r="74">
      <c r="A74" t="inlineStr">
        <is>
          <t>Interview-Based 360</t>
        </is>
      </c>
      <c r="B74" t="n">
        <v>3.75</v>
      </c>
    </row>
    <row r="75">
      <c r="A75" t="inlineStr">
        <is>
          <t>Assessment Feedback</t>
        </is>
      </c>
      <c r="B75" t="n">
        <v>2</v>
      </c>
    </row>
    <row r="76">
      <c r="A76" t="inlineStr">
        <is>
          <t>Dev Planning Session</t>
        </is>
      </c>
      <c r="B76" t="n">
        <v>1</v>
      </c>
      <c r="D76" t="inlineStr">
        <is>
          <t>CZ Fee (months)</t>
        </is>
      </c>
      <c r="E76" t="n">
        <v>4</v>
      </c>
    </row>
    <row r="77">
      <c r="A77" t="inlineStr">
        <is>
          <t>Stakeholder 2: SDP</t>
        </is>
      </c>
      <c r="B77" t="n">
        <v>1</v>
      </c>
    </row>
    <row r="78">
      <c r="A78" t="inlineStr">
        <is>
          <t>Implementation Sessions</t>
        </is>
      </c>
      <c r="B78" t="n">
        <v>4</v>
      </c>
    </row>
    <row r="79">
      <c r="A79" t="inlineStr">
        <is>
          <t>Stakeholder 3: Midpoint</t>
        </is>
      </c>
      <c r="B79" t="n">
        <v>1</v>
      </c>
    </row>
    <row r="80">
      <c r="A80" t="inlineStr">
        <is>
          <t>Stakeholder 4: Wrap-Up</t>
        </is>
      </c>
      <c r="B80" t="n">
        <v>1</v>
      </c>
    </row>
    <row r="88">
      <c r="A88" s="2" t="inlineStr">
        <is>
          <t>-- SPARK II TIER (reference) --</t>
        </is>
      </c>
    </row>
    <row r="89">
      <c r="A89" t="inlineStr">
        <is>
          <t>Initial Coaching Session</t>
        </is>
      </c>
      <c r="B89" t="n">
        <v>0.5</v>
      </c>
    </row>
    <row r="90">
      <c r="A90" t="inlineStr">
        <is>
          <t>Stakeholder 1: ASM</t>
        </is>
      </c>
      <c r="B90" t="n">
        <v>1</v>
      </c>
    </row>
    <row r="91">
      <c r="A91" t="inlineStr">
        <is>
          <t>Dev History Interview</t>
        </is>
      </c>
      <c r="B91" t="n">
        <v>2</v>
      </c>
    </row>
    <row r="92">
      <c r="A92" t="inlineStr">
        <is>
          <t>Interview-Based 360</t>
        </is>
      </c>
      <c r="B92" t="n">
        <v>3.75</v>
      </c>
    </row>
    <row r="93">
      <c r="A93" t="inlineStr">
        <is>
          <t>Assessment Feedback</t>
        </is>
      </c>
      <c r="B93" t="n">
        <v>2</v>
      </c>
    </row>
    <row r="94">
      <c r="A94" t="inlineStr">
        <is>
          <t>Dev Planning Session</t>
        </is>
      </c>
      <c r="B94" t="n">
        <v>1</v>
      </c>
      <c r="D94" t="inlineStr">
        <is>
          <t>CZ Fee (months)</t>
        </is>
      </c>
      <c r="E94" t="n">
        <v>5</v>
      </c>
    </row>
    <row r="95">
      <c r="A95" t="inlineStr">
        <is>
          <t>Stakeholder 2: SDP</t>
        </is>
      </c>
      <c r="B95" t="n">
        <v>1</v>
      </c>
    </row>
    <row r="96">
      <c r="A96" t="inlineStr">
        <is>
          <t>Implementation Sessions</t>
        </is>
      </c>
      <c r="B96" t="n">
        <v>5</v>
      </c>
    </row>
    <row r="97">
      <c r="A97" t="inlineStr">
        <is>
          <t>Stakeholder 3: Midpoint</t>
        </is>
      </c>
      <c r="B97" t="n">
        <v>1</v>
      </c>
    </row>
    <row r="98">
      <c r="A98" t="inlineStr">
        <is>
          <t>Stakeholder 4: Wrap-Up</t>
        </is>
      </c>
      <c r="B98" t="n">
        <v>1</v>
      </c>
    </row>
    <row r="105">
      <c r="A105" s="2" t="inlineStr">
        <is>
          <t>-- AIIR VISTA TIER (reference) --</t>
        </is>
      </c>
    </row>
    <row r="106">
      <c r="A106" t="inlineStr">
        <is>
          <t>Initial Coaching Session</t>
        </is>
      </c>
      <c r="B106" t="n">
        <v>0.5</v>
      </c>
    </row>
    <row r="107">
      <c r="A107" t="inlineStr">
        <is>
          <t>Stakeholder 1: ASM</t>
        </is>
      </c>
      <c r="B107" t="n">
        <v>1</v>
      </c>
    </row>
    <row r="108">
      <c r="A108" t="inlineStr">
        <is>
          <t>Dev History Interview</t>
        </is>
      </c>
      <c r="B108" t="n">
        <v>2</v>
      </c>
    </row>
    <row r="109">
      <c r="A109" t="inlineStr">
        <is>
          <t>Interview-Based 360</t>
        </is>
      </c>
      <c r="B109" t="n">
        <v>6</v>
      </c>
    </row>
    <row r="110">
      <c r="A110" t="inlineStr">
        <is>
          <t>Assessment Feedback</t>
        </is>
      </c>
      <c r="B110" t="n">
        <v>2</v>
      </c>
    </row>
    <row r="111">
      <c r="A111" t="inlineStr">
        <is>
          <t>Dev Planning Session</t>
        </is>
      </c>
      <c r="B111" t="n">
        <v>1</v>
      </c>
      <c r="D111" t="inlineStr">
        <is>
          <t>CZ Fee (months)</t>
        </is>
      </c>
      <c r="E111" t="n">
        <v>12</v>
      </c>
    </row>
    <row r="112">
      <c r="A112" t="inlineStr">
        <is>
          <t>Stakeholder 2: SDP</t>
        </is>
      </c>
      <c r="B112" t="n">
        <v>1</v>
      </c>
    </row>
    <row r="113">
      <c r="A113" t="inlineStr">
        <is>
          <t>Implementation Sessions</t>
        </is>
      </c>
      <c r="B113" t="n">
        <v>10</v>
      </c>
    </row>
    <row r="114">
      <c r="A114" t="inlineStr">
        <is>
          <t>Stakeholder 3: Midpoint</t>
        </is>
      </c>
      <c r="B114" t="n">
        <v>1</v>
      </c>
    </row>
    <row r="115">
      <c r="A115" t="inlineStr">
        <is>
          <t>Stakeholder 4: Wrap-Up</t>
        </is>
      </c>
      <c r="B1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50" customWidth="1" min="27" max="27"/>
  </cols>
  <sheetData>
    <row r="1">
      <c r="A1" s="8" t="inlineStr">
        <is>
          <t>engagement_id</t>
        </is>
      </c>
      <c r="B1" s="8" t="inlineStr">
        <is>
          <t>created_at</t>
        </is>
      </c>
      <c r="C1" s="8" t="inlineStr">
        <is>
          <t>transcript_filename</t>
        </is>
      </c>
      <c r="D1" s="8" t="inlineStr">
        <is>
          <t>client_company</t>
        </is>
      </c>
      <c r="E1" s="8" t="inlineStr">
        <is>
          <t>coachee_name</t>
        </is>
      </c>
      <c r="F1" s="8" t="inlineStr">
        <is>
          <t>hubspot_deal_id</t>
        </is>
      </c>
      <c r="G1" s="8" t="inlineStr">
        <is>
          <t>coach_name</t>
        </is>
      </c>
      <c r="H1" s="8" t="inlineStr">
        <is>
          <t>tier</t>
        </is>
      </c>
      <c r="I1" s="8" t="inlineStr">
        <is>
          <t>bill_rate</t>
        </is>
      </c>
      <c r="J1" s="8" t="inlineStr">
        <is>
          <t>num_participants</t>
        </is>
      </c>
      <c r="K1" s="8" t="inlineStr">
        <is>
          <t>price_per_participant</t>
        </is>
      </c>
      <c r="L1" s="8" t="inlineStr">
        <is>
          <t>total_engagement_price</t>
        </is>
      </c>
      <c r="M1" s="8" t="inlineStr">
        <is>
          <t>payment_structure</t>
        </is>
      </c>
      <c r="N1" s="8" t="inlineStr">
        <is>
          <t>net_days</t>
        </is>
      </c>
      <c r="O1" s="8" t="inlineStr">
        <is>
          <t>pricing_approval_status</t>
        </is>
      </c>
      <c r="P1" s="8" t="inlineStr">
        <is>
          <t>pricing_approved_by</t>
        </is>
      </c>
      <c r="Q1" s="8" t="inlineStr">
        <is>
          <t>pricing_approved_at</t>
        </is>
      </c>
      <c r="R1" s="8" t="inlineStr">
        <is>
          <t>rationale_doc_url</t>
        </is>
      </c>
      <c r="S1" s="8" t="inlineStr">
        <is>
          <t>calculator_url</t>
        </is>
      </c>
      <c r="T1" s="8" t="inlineStr">
        <is>
          <t>sow_doc_url</t>
        </is>
      </c>
      <c r="U1" s="8" t="inlineStr">
        <is>
          <t>sow_approval_status</t>
        </is>
      </c>
      <c r="V1" s="8" t="inlineStr">
        <is>
          <t>sow_approved_by</t>
        </is>
      </c>
      <c r="W1" s="8" t="inlineStr">
        <is>
          <t>sow_approved_at</t>
        </is>
      </c>
      <c r="X1" s="8" t="inlineStr">
        <is>
          <t>client_email</t>
        </is>
      </c>
      <c r="Y1" s="8" t="inlineStr">
        <is>
          <t>sent_at</t>
        </is>
      </c>
      <c r="Z1" s="8" t="inlineStr">
        <is>
          <t>archive_folder_url</t>
        </is>
      </c>
      <c r="AA1" s="8" t="inlineStr">
        <is>
          <t>full_variables_json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2026-03-11T19:42:31Z</dcterms:created>
  <dcterms:modified xmlns:dcterms="http://purl.org/dc/terms/" xmlns:xsi="http://www.w3.org/2001/XMLSchema-instance" xsi:type="dcterms:W3CDTF">2026-03-11T19:42:31Z</dcterms:modified>
</cp:coreProperties>
</file>