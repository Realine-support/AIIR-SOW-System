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sting Calculator - Integrated" sheetId="1" state="visible" r:id="rId1"/>
    <sheet name="Calculator" sheetId="2" state="visible" r:id="rId2"/>
    <sheet name="Deliverable Glossary" sheetId="3" state="visible" r:id="rId3"/>
    <sheet name="Tracker" sheetId="4" state="visible" r:id="rId4"/>
  </sheets>
  <definedNames>
    <definedName name="_xlnm._FilterDatabase" localSheetId="1" hidden="1">'Calculator'!$D$20:$H$32</definedName>
  </definedNames>
  <calcPr calcId="124519" fullCalcOnLoad="1"/>
</workbook>
</file>

<file path=xl/styles.xml><?xml version="1.0" encoding="utf-8"?>
<styleSheet xmlns="http://schemas.openxmlformats.org/spreadsheetml/2006/main">
  <numFmts count="3">
    <numFmt numFmtId="164" formatCode="&quot;$&quot;#,##0.00"/>
    <numFmt numFmtId="165" formatCode="_(&quot;$&quot;* #,##0.00_);_(&quot;$&quot;* \(#,##0.00\);_(&quot;$&quot;* &quot;-&quot;??_);_(@_)"/>
    <numFmt numFmtId="166" formatCode="&quot;$&quot;#,##0"/>
  </numFmts>
  <fonts count="30">
    <font>
      <name val="Arial"/>
      <color rgb="FF000000"/>
      <sz val="10"/>
      <scheme val="minor"/>
    </font>
    <font>
      <name val="Calibri"/>
      <b val="1"/>
      <color theme="1"/>
      <sz val="14"/>
    </font>
    <font>
      <name val="Calibri"/>
      <b val="1"/>
      <color theme="0"/>
      <sz val="11"/>
    </font>
    <font>
      <name val="Calibri"/>
      <color theme="1"/>
      <sz val="11"/>
    </font>
    <font>
      <name val="Calibri"/>
      <b val="1"/>
      <color rgb="FF000000"/>
      <sz val="11"/>
    </font>
    <font>
      <name val="Arial"/>
      <b val="1"/>
      <color rgb="FFFFFFFF"/>
    </font>
    <font>
      <name val="Arial"/>
      <color theme="1"/>
    </font>
    <font>
      <name val="Arial"/>
      <color rgb="FFFFFFFF"/>
    </font>
    <font>
      <name val="Calibri"/>
      <b val="1"/>
      <color theme="1"/>
      <sz val="11"/>
    </font>
    <font>
      <name val="Calibri"/>
      <b val="1"/>
      <color theme="1"/>
      <sz val="12"/>
    </font>
    <font>
      <name val="Calibri"/>
      <b val="1"/>
      <color rgb="FFFFFFFF"/>
      <sz val="11"/>
    </font>
    <font>
      <name val="Calibri"/>
      <i val="1"/>
      <color theme="1"/>
      <sz val="11"/>
    </font>
    <font/>
    <font>
      <name val="Calibri"/>
      <color rgb="FFFFFFFF"/>
      <sz val="11"/>
    </font>
    <font>
      <name val="Calibri"/>
      <color rgb="FF000000"/>
      <sz val="11"/>
    </font>
    <font>
      <name val="Arial"/>
      <b val="1"/>
      <color theme="1"/>
    </font>
    <font>
      <name val="Arial"/>
      <b val="1"/>
      <color theme="1"/>
      <sz val="13"/>
    </font>
    <font>
      <name val="Arial"/>
      <b val="1"/>
      <color theme="1"/>
      <sz val="12"/>
    </font>
    <font>
      <name val="Arial"/>
      <b val="1"/>
      <color rgb="FFFFFFFF"/>
      <sz val="11"/>
    </font>
    <font>
      <name val="Arial"/>
      <b val="1"/>
      <color theme="1"/>
      <sz val="10"/>
    </font>
    <font>
      <name val="Arial"/>
      <color theme="1"/>
      <sz val="10"/>
    </font>
    <font>
      <name val="Arial"/>
      <b val="1"/>
      <color rgb="FFFF0000"/>
    </font>
    <font>
      <name val="Arial"/>
      <color theme="1"/>
      <scheme val="minor"/>
    </font>
    <font>
      <name val="Arial"/>
      <b val="1"/>
      <color theme="1"/>
      <sz val="18"/>
    </font>
    <font>
      <name val="Calibri"/>
      <b val="1"/>
      <color rgb="FFFFFFFF"/>
    </font>
    <font>
      <name val="Calibri"/>
      <color theme="1"/>
    </font>
    <font>
      <name val="Calibri"/>
      <color rgb="FF000000"/>
      <sz val="12"/>
    </font>
    <font>
      <name val="Calibri"/>
      <color theme="1"/>
      <sz val="12"/>
    </font>
    <font>
      <name val="Calibri"/>
      <b val="1"/>
      <color theme="1"/>
    </font>
    <font>
      <b val="1"/>
      <color rgb="00FFFFFF"/>
      <sz val="11"/>
    </font>
  </fonts>
  <fills count="25">
    <fill>
      <patternFill/>
    </fill>
    <fill>
      <patternFill patternType="lightGray"/>
    </fill>
    <fill>
      <patternFill patternType="solid">
        <fgColor rgb="FF38761D"/>
        <bgColor rgb="FF38761D"/>
      </patternFill>
    </fill>
    <fill>
      <patternFill patternType="solid">
        <fgColor rgb="FFFFFFFF"/>
        <bgColor rgb="FFFFFFFF"/>
      </patternFill>
    </fill>
    <fill>
      <patternFill patternType="solid">
        <fgColor rgb="FFB6D7A8"/>
        <bgColor rgb="FFB6D7A8"/>
      </patternFill>
    </fill>
    <fill>
      <patternFill patternType="solid">
        <fgColor rgb="FFEAF1DD"/>
        <bgColor rgb="FFEAF1DD"/>
      </patternFill>
    </fill>
    <fill>
      <patternFill patternType="solid">
        <fgColor rgb="FF6AA84F"/>
        <bgColor rgb="FF6AA84F"/>
      </patternFill>
    </fill>
    <fill>
      <patternFill patternType="solid">
        <fgColor rgb="FFD9EAD3"/>
        <bgColor rgb="FFD9EAD3"/>
      </patternFill>
    </fill>
    <fill>
      <patternFill patternType="solid">
        <fgColor rgb="FF666666"/>
        <bgColor rgb="FF666666"/>
      </patternFill>
    </fill>
    <fill>
      <patternFill patternType="solid">
        <fgColor rgb="FFCFE2F3"/>
        <bgColor rgb="FFCFE2F3"/>
      </patternFill>
    </fill>
    <fill>
      <patternFill patternType="solid">
        <fgColor theme="0"/>
        <bgColor theme="0"/>
      </patternFill>
    </fill>
    <fill>
      <patternFill patternType="solid">
        <fgColor rgb="FFE5DFEC"/>
        <bgColor rgb="FFE5DFEC"/>
      </patternFill>
    </fill>
    <fill>
      <patternFill patternType="solid">
        <fgColor rgb="FFD9D2E9"/>
        <bgColor rgb="FFD9D2E9"/>
      </patternFill>
    </fill>
    <fill>
      <patternFill patternType="solid">
        <fgColor rgb="FF8E7CC3"/>
        <bgColor rgb="FF8E7CC3"/>
      </patternFill>
    </fill>
    <fill>
      <patternFill patternType="solid">
        <fgColor rgb="FF999999"/>
        <bgColor rgb="FF999999"/>
      </patternFill>
    </fill>
    <fill>
      <patternFill patternType="solid">
        <fgColor rgb="FFB4A7D6"/>
        <bgColor rgb="FFB4A7D6"/>
      </patternFill>
    </fill>
    <fill>
      <patternFill patternType="solid">
        <fgColor rgb="FF76923C"/>
        <bgColor rgb="FF76923C"/>
      </patternFill>
    </fill>
    <fill>
      <patternFill patternType="solid">
        <fgColor rgb="FFC2D69B"/>
        <bgColor rgb="FFC2D69B"/>
      </patternFill>
    </fill>
    <fill>
      <patternFill patternType="solid">
        <fgColor rgb="FF674EA7"/>
        <bgColor rgb="FF674EA7"/>
      </patternFill>
    </fill>
    <fill>
      <patternFill patternType="solid">
        <fgColor rgb="FF0B5394"/>
        <bgColor rgb="FF0B5394"/>
      </patternFill>
    </fill>
    <fill>
      <patternFill patternType="solid">
        <fgColor rgb="FFD9D9D9"/>
        <bgColor rgb="FFD9D9D9"/>
      </patternFill>
    </fill>
    <fill>
      <patternFill patternType="solid">
        <fgColor rgb="FFFFFF00"/>
        <bgColor rgb="FFFFFF00"/>
      </patternFill>
    </fill>
    <fill>
      <patternFill patternType="solid">
        <fgColor rgb="FFA4C2F4"/>
        <bgColor rgb="FFA4C2F4"/>
      </patternFill>
    </fill>
    <fill>
      <patternFill patternType="solid">
        <fgColor rgb="FFCCCCCC"/>
        <bgColor rgb="FFCCCCCC"/>
      </patternFill>
    </fill>
    <fill>
      <patternFill patternType="solid">
        <fgColor rgb="001A73E8"/>
      </patternFill>
    </fill>
  </fills>
  <borders count="90">
    <border/>
    <border>
      <left style="medium">
        <color rgb="FF000000"/>
      </left>
      <right/>
      <top style="medium">
        <color rgb="FF000000"/>
      </top>
      <bottom style="medium">
        <color rgb="FF000000"/>
      </bottom>
    </border>
    <border>
      <right style="medium">
        <color rgb="FF000000"/>
      </right>
      <top style="medium">
        <color rgb="FF000000"/>
      </top>
      <bottom style="medium">
        <color rgb="FF000000"/>
      </bottom>
    </border>
    <border>
      <left style="thick">
        <color rgb="FF000000"/>
      </left>
      <right/>
      <top style="thick">
        <color rgb="FF000000"/>
      </top>
      <bottom/>
    </border>
    <border>
      <left/>
      <right style="thick">
        <color rgb="FF000000"/>
      </right>
      <top style="thick">
        <color rgb="FF000000"/>
      </top>
      <bottom/>
    </border>
    <border>
      <right style="medium">
        <color rgb="FF000000"/>
      </right>
      <top style="medium">
        <color rgb="FF000000"/>
      </top>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top/>
      <bottom/>
    </border>
    <border>
      <left/>
      <right style="thick">
        <color rgb="FF000000"/>
      </right>
      <top/>
      <bottom/>
    </border>
    <border>
      <right style="medium">
        <color rgb="FF000000"/>
      </right>
      <top/>
      <bottom/>
    </border>
    <border>
      <left style="thick">
        <color rgb="FF000000"/>
      </left>
    </border>
    <border>
      <left style="thin">
        <color rgb="FF000000"/>
      </left>
    </border>
    <border>
      <right style="thick">
        <color rgb="FF000000"/>
      </right>
    </border>
    <border>
      <left style="thick">
        <color rgb="FF000000"/>
      </left>
      <right/>
      <top/>
      <bottom style="thin">
        <color rgb="FF000000"/>
      </bottom>
    </border>
    <border>
      <left/>
      <right style="thick">
        <color rgb="FF000000"/>
      </right>
      <top/>
      <bottom style="thin">
        <color rgb="FF000000"/>
      </bottom>
    </border>
    <border>
      <right style="medium">
        <color rgb="FF000000"/>
      </right>
      <top/>
      <bottom style="thin">
        <color rgb="FF000000"/>
      </bottom>
    </border>
    <border>
      <left style="thick">
        <color rgb="FF000000"/>
      </left>
      <bottom style="thick">
        <color rgb="FF000000"/>
      </bottom>
    </border>
    <border>
      <left style="thin">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top/>
      <bottom style="thick">
        <color rgb="FF000000"/>
      </bottom>
    </border>
    <border>
      <left/>
      <right style="thick">
        <color rgb="FF000000"/>
      </right>
      <top/>
      <bottom style="thick">
        <color rgb="FF000000"/>
      </bottom>
    </border>
    <border>
      <right style="medium">
        <color rgb="FF000000"/>
      </right>
      <top/>
      <bottom style="medium">
        <color rgb="FF000000"/>
      </bottom>
    </border>
    <border>
      <left/>
      <right/>
      <top/>
    </border>
    <border>
      <left style="thick">
        <color rgb="FF000000"/>
      </left>
      <right style="thick">
        <color rgb="FF000000"/>
      </right>
      <top style="thick">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border>
    <border>
      <left style="thick">
        <color rgb="FF000000"/>
      </left>
      <bottom style="thin">
        <color rgb="FF000000"/>
      </bottom>
    </border>
    <border>
      <bottom style="thin">
        <color rgb="FF000000"/>
      </bottom>
    </border>
    <border>
      <right style="thick">
        <color rgb="FF000000"/>
      </right>
      <bottom style="thin">
        <color rgb="FF000000"/>
      </bottom>
    </border>
    <border>
      <left style="thick">
        <color rgb="FF000000"/>
      </left>
      <right style="thick">
        <color rgb="FF000000"/>
      </right>
      <bottom style="thick">
        <color rgb="FF000000"/>
      </bottom>
    </border>
    <border>
      <left/>
      <right/>
    </border>
    <border>
      <left style="medium">
        <color rgb="FF000000"/>
      </left>
      <right style="medium">
        <color rgb="FF000000"/>
      </right>
      <top style="medium">
        <color rgb="FF000000"/>
      </top>
    </border>
    <border>
      <left/>
      <right/>
      <top/>
      <bottom/>
    </border>
    <border>
      <left style="medium">
        <color rgb="FF000000"/>
      </left>
      <right style="medium">
        <color rgb="FF000000"/>
      </right>
    </border>
    <border>
      <right/>
      <bottom/>
    </border>
    <border>
      <left/>
      <right/>
      <bottom/>
    </border>
    <border>
      <left/>
      <right style="thick">
        <color rgb="FF000000"/>
      </right>
      <bottom/>
    </border>
    <border>
      <right/>
      <top/>
      <bottom/>
    </border>
    <border>
      <right/>
      <top/>
    </border>
    <border>
      <right/>
      <top/>
      <bottom style="thin">
        <color rgb="FF000000"/>
      </bottom>
    </border>
    <border>
      <left/>
      <right/>
      <top/>
      <bottom style="thin">
        <color rgb="FF000000"/>
      </bottom>
    </border>
    <border>
      <left style="medium">
        <color rgb="FF000000"/>
      </left>
      <right style="medium">
        <color rgb="FF000000"/>
      </right>
      <bottom style="medium">
        <color rgb="FF000000"/>
      </bottom>
    </border>
    <border>
      <right/>
      <bottom style="thick">
        <color rgb="FF000000"/>
      </bottom>
    </border>
    <border>
      <left/>
      <right/>
      <bottom style="thick">
        <color rgb="FF000000"/>
      </bottom>
    </border>
    <border>
      <left/>
      <right style="thick">
        <color rgb="FF000000"/>
      </right>
      <bottom style="thick">
        <color rgb="FF000000"/>
      </bottom>
    </border>
    <border>
      <left/>
      <right style="medium">
        <color rgb="FF000000"/>
      </right>
      <top/>
    </border>
    <border>
      <right/>
      <top style="medium">
        <color rgb="FF000000"/>
      </top>
      <bottom/>
    </border>
    <border>
      <left/>
      <right/>
      <top style="medium">
        <color rgb="FF000000"/>
      </top>
      <bottom/>
    </border>
    <border>
      <left/>
      <right style="medium">
        <color rgb="FF000000"/>
      </right>
      <top style="medium">
        <color rgb="FF000000"/>
      </top>
      <bottom/>
    </border>
    <border>
      <left/>
      <right style="medium">
        <color rgb="FF000000"/>
      </right>
      <top/>
      <bottom/>
    </border>
    <border>
      <right style="thin">
        <color rgb="FFD9D2E9"/>
      </right>
      <top style="thin">
        <color rgb="FFD9D2E9"/>
      </top>
      <bottom style="thin">
        <color rgb="FFD9D2E9"/>
      </bottom>
    </border>
    <border>
      <left style="thin">
        <color rgb="FFD9D2E9"/>
      </left>
      <top style="thin">
        <color rgb="FFD9D2E9"/>
      </top>
      <bottom style="thin">
        <color rgb="FFD9D2E9"/>
      </bottom>
    </border>
    <border>
      <right/>
      <top/>
      <bottom style="thin">
        <color rgb="FFFFFFFF"/>
      </bottom>
    </border>
    <border>
      <left/>
      <right/>
      <top/>
      <bottom style="thin">
        <color rgb="FFE5DFEC"/>
      </bottom>
    </border>
    <border>
      <left/>
      <right style="medium">
        <color rgb="FF000000"/>
      </right>
      <top/>
      <bottom style="thin">
        <color rgb="FFE5DFEC"/>
      </bottom>
    </border>
    <border>
      <left/>
      <right style="medium">
        <color rgb="FF000000"/>
      </right>
      <bottom/>
    </border>
    <border>
      <left/>
      <right style="medium">
        <color rgb="FF000000"/>
      </right>
      <top/>
      <bottom style="thin">
        <color rgb="FF000000"/>
      </bottom>
    </border>
    <border>
      <right/>
      <bottom style="medium">
        <color rgb="FF000000"/>
      </bottom>
    </border>
    <border>
      <left/>
      <right/>
      <bottom style="medium">
        <color rgb="FF000000"/>
      </bottom>
    </border>
    <border>
      <left/>
      <right style="medium">
        <color rgb="FF000000"/>
      </right>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right/>
    </border>
    <border>
      <left/>
      <right style="medium">
        <color rgb="FF000000"/>
      </right>
    </border>
    <border>
      <left/>
      <bottom style="medium">
        <color rgb="FF000000"/>
      </bottom>
    </border>
    <border>
      <top style="thin">
        <color rgb="FF000000"/>
      </top>
      <bottom style="medium">
        <color rgb="FF000000"/>
      </bottom>
    </border>
    <border>
      <left style="thin">
        <color rgb="FFE5DFEC"/>
      </left>
      <right style="thin">
        <color rgb="FFE5DFEC"/>
      </right>
      <top style="thin">
        <color rgb="FFE5DFEC"/>
      </top>
      <bottom style="thin">
        <color rgb="FFE5DFEC"/>
      </bottom>
    </border>
    <border>
      <left style="medium">
        <color rgb="FF000000"/>
      </left>
      <right/>
      <top style="medium">
        <color rgb="FF000000"/>
      </top>
    </border>
    <border>
      <left/>
      <right/>
      <top style="medium">
        <color rgb="FF000000"/>
      </top>
    </border>
    <border>
      <left/>
      <right style="medium">
        <color rgb="FF000000"/>
      </right>
      <top style="medium">
        <color rgb="FF000000"/>
      </top>
    </border>
    <border>
      <left style="medium">
        <color rgb="FF000000"/>
      </left>
      <right/>
      <top/>
      <bottom/>
    </border>
    <border>
      <left style="medium">
        <color rgb="FF000000"/>
      </left>
      <right/>
      <top/>
    </border>
    <border>
      <left style="medium">
        <color rgb="FF000000"/>
      </left>
    </border>
    <border>
      <left style="medium">
        <color rgb="FF000000"/>
      </left>
      <bottom style="thin">
        <color rgb="FF000000"/>
      </bottom>
    </border>
    <border>
      <left style="medium">
        <color rgb="FF000000"/>
      </left>
      <righ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rder>
    <border>
      <right style="medium">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s>
  <cellStyleXfs count="1">
    <xf numFmtId="0" fontId="0" fillId="0" borderId="0"/>
  </cellStyleXfs>
  <cellXfs count="355">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right"/>
    </xf>
    <xf numFmtId="0" fontId="3" fillId="0" borderId="2" pivotButton="0" quotePrefix="0" xfId="0"/>
    <xf numFmtId="0" fontId="4" fillId="3" borderId="0" applyAlignment="1" pivotButton="0" quotePrefix="0" xfId="0">
      <alignment horizontal="center"/>
    </xf>
    <xf numFmtId="0" fontId="5" fillId="3" borderId="0" pivotButton="0" quotePrefix="0" xfId="0"/>
    <xf numFmtId="0" fontId="6" fillId="3" borderId="0" pivotButton="0" quotePrefix="0" xfId="0"/>
    <xf numFmtId="0" fontId="2" fillId="2" borderId="3" applyAlignment="1" pivotButton="0" quotePrefix="0" xfId="0">
      <alignment horizontal="center"/>
    </xf>
    <xf numFmtId="0" fontId="2" fillId="2" borderId="4" applyAlignment="1" pivotButton="0" quotePrefix="0" xfId="0">
      <alignment horizontal="center"/>
    </xf>
    <xf numFmtId="0" fontId="2" fillId="2" borderId="5" applyAlignment="1" pivotButton="0" quotePrefix="0" xfId="0">
      <alignment horizontal="center"/>
    </xf>
    <xf numFmtId="0" fontId="5" fillId="2" borderId="6" pivotButton="0" quotePrefix="0" xfId="0"/>
    <xf numFmtId="0" fontId="5" fillId="2" borderId="7" pivotButton="0" quotePrefix="0" xfId="0"/>
    <xf numFmtId="0" fontId="6" fillId="2" borderId="7" pivotButton="0" quotePrefix="0" xfId="0"/>
    <xf numFmtId="0" fontId="6" fillId="2" borderId="8" pivotButton="0" quotePrefix="0" xfId="0"/>
    <xf numFmtId="0" fontId="3" fillId="4" borderId="9" applyAlignment="1" pivotButton="0" quotePrefix="0" xfId="0">
      <alignment horizontal="right"/>
    </xf>
    <xf numFmtId="164" fontId="3" fillId="5" borderId="10" pivotButton="0" quotePrefix="0" xfId="0"/>
    <xf numFmtId="164" fontId="3" fillId="5" borderId="11" pivotButton="0" quotePrefix="0" xfId="0"/>
    <xf numFmtId="0" fontId="5" fillId="6" borderId="12" applyAlignment="1" pivotButton="0" quotePrefix="0" xfId="0">
      <alignment horizontal="right"/>
    </xf>
    <xf numFmtId="0" fontId="6" fillId="3" borderId="13" pivotButton="0" quotePrefix="0" xfId="0"/>
    <xf numFmtId="0" fontId="6" fillId="7" borderId="13" pivotButton="0" quotePrefix="0" xfId="0"/>
    <xf numFmtId="0" fontId="6" fillId="7" borderId="0" pivotButton="0" quotePrefix="0" xfId="0"/>
    <xf numFmtId="0" fontId="6" fillId="7" borderId="14" pivotButton="0" quotePrefix="0" xfId="0"/>
    <xf numFmtId="0" fontId="7" fillId="6" borderId="12" applyAlignment="1" pivotButton="0" quotePrefix="0" xfId="0">
      <alignment horizontal="right"/>
    </xf>
    <xf numFmtId="164" fontId="6" fillId="7" borderId="13" pivotButton="0" quotePrefix="0" xfId="0"/>
    <xf numFmtId="0" fontId="3" fillId="4" borderId="15" applyAlignment="1" pivotButton="0" quotePrefix="0" xfId="0">
      <alignment horizontal="right"/>
    </xf>
    <xf numFmtId="164" fontId="3" fillId="5" borderId="16" pivotButton="0" quotePrefix="0" xfId="0"/>
    <xf numFmtId="164" fontId="3" fillId="5" borderId="17" pivotButton="0" quotePrefix="0" xfId="0"/>
    <xf numFmtId="0" fontId="7" fillId="6" borderId="18" applyAlignment="1" pivotButton="0" quotePrefix="0" xfId="0">
      <alignment horizontal="right"/>
    </xf>
    <xf numFmtId="164" fontId="6" fillId="7" borderId="19" pivotButton="0" quotePrefix="0" xfId="0"/>
    <xf numFmtId="0" fontId="6" fillId="7" borderId="19" pivotButton="0" quotePrefix="0" xfId="0"/>
    <xf numFmtId="0" fontId="6" fillId="7" borderId="20" pivotButton="0" quotePrefix="0" xfId="0"/>
    <xf numFmtId="0" fontId="6" fillId="7" borderId="21" pivotButton="0" quotePrefix="0" xfId="0"/>
    <xf numFmtId="0" fontId="8" fillId="4" borderId="22" applyAlignment="1" pivotButton="0" quotePrefix="0" xfId="0">
      <alignment horizontal="right"/>
    </xf>
    <xf numFmtId="164" fontId="8" fillId="5" borderId="23" pivotButton="0" quotePrefix="0" xfId="0"/>
    <xf numFmtId="164" fontId="8" fillId="5" borderId="24" pivotButton="0" quotePrefix="0" xfId="0"/>
    <xf numFmtId="0" fontId="9" fillId="8" borderId="0" pivotButton="0" quotePrefix="0" xfId="0"/>
    <xf numFmtId="0" fontId="5" fillId="8" borderId="0" pivotButton="0" quotePrefix="0" xfId="0"/>
    <xf numFmtId="164" fontId="10" fillId="8" borderId="0" applyAlignment="1" pivotButton="0" quotePrefix="0" xfId="0">
      <alignment horizontal="center"/>
    </xf>
    <xf numFmtId="0" fontId="5" fillId="8" borderId="0" applyAlignment="1" pivotButton="0" quotePrefix="0" xfId="0">
      <alignment horizontal="center"/>
    </xf>
    <xf numFmtId="0" fontId="10" fillId="8" borderId="25" applyAlignment="1" pivotButton="0" quotePrefix="0" xfId="0">
      <alignment horizontal="center"/>
    </xf>
    <xf numFmtId="0" fontId="9" fillId="9" borderId="26" applyAlignment="1" pivotButton="0" quotePrefix="0" xfId="0">
      <alignment horizontal="center" vertical="top"/>
    </xf>
    <xf numFmtId="0" fontId="3" fillId="9" borderId="27" pivotButton="0" quotePrefix="0" xfId="0"/>
    <xf numFmtId="164" fontId="3" fillId="9" borderId="28" pivotButton="0" quotePrefix="0" xfId="0"/>
    <xf numFmtId="0" fontId="3" fillId="9" borderId="28" pivotButton="0" quotePrefix="0" xfId="0"/>
    <xf numFmtId="0" fontId="3" fillId="3" borderId="28" pivotButton="0" quotePrefix="0" xfId="0"/>
    <xf numFmtId="10" fontId="3" fillId="9" borderId="28" pivotButton="0" quotePrefix="0" xfId="0"/>
    <xf numFmtId="164" fontId="3" fillId="9" borderId="29" pivotButton="0" quotePrefix="0" xfId="0"/>
    <xf numFmtId="0" fontId="11" fillId="0" borderId="0" pivotButton="0" quotePrefix="0" xfId="0"/>
    <xf numFmtId="164" fontId="3" fillId="5" borderId="0" pivotButton="0" quotePrefix="0" xfId="0"/>
    <xf numFmtId="164" fontId="3" fillId="0" borderId="0" pivotButton="0" quotePrefix="0" xfId="0"/>
    <xf numFmtId="0" fontId="12" fillId="0" borderId="30" pivotButton="0" quotePrefix="0" xfId="0"/>
    <xf numFmtId="0" fontId="3" fillId="9" borderId="12" pivotButton="0" quotePrefix="0" xfId="0"/>
    <xf numFmtId="164" fontId="3" fillId="9" borderId="0" pivotButton="0" quotePrefix="0" xfId="0"/>
    <xf numFmtId="0" fontId="3" fillId="9" borderId="0" pivotButton="0" quotePrefix="0" xfId="0"/>
    <xf numFmtId="0" fontId="3" fillId="3" borderId="0" pivotButton="0" quotePrefix="0" xfId="0"/>
    <xf numFmtId="10" fontId="3" fillId="9" borderId="0" pivotButton="0" quotePrefix="0" xfId="0"/>
    <xf numFmtId="164" fontId="3" fillId="9" borderId="14" pivotButton="0" quotePrefix="0" xfId="0"/>
    <xf numFmtId="0" fontId="6" fillId="0" borderId="0" pivotButton="0" quotePrefix="0" xfId="0"/>
    <xf numFmtId="0" fontId="3" fillId="9" borderId="31" pivotButton="0" quotePrefix="0" xfId="0"/>
    <xf numFmtId="164" fontId="3" fillId="9" borderId="32" pivotButton="0" quotePrefix="0" xfId="0"/>
    <xf numFmtId="0" fontId="3" fillId="9" borderId="32" pivotButton="0" quotePrefix="0" xfId="0"/>
    <xf numFmtId="0" fontId="3" fillId="3" borderId="32" pivotButton="0" quotePrefix="0" xfId="0"/>
    <xf numFmtId="10" fontId="3" fillId="9" borderId="32" pivotButton="0" quotePrefix="0" xfId="0"/>
    <xf numFmtId="164" fontId="3" fillId="9" borderId="33" pivotButton="0" quotePrefix="0" xfId="0"/>
    <xf numFmtId="0" fontId="12" fillId="0" borderId="34" pivotButton="0" quotePrefix="0" xfId="0"/>
    <xf numFmtId="0" fontId="8" fillId="9" borderId="18" applyAlignment="1" pivotButton="0" quotePrefix="0" xfId="0">
      <alignment horizontal="right"/>
    </xf>
    <xf numFmtId="164" fontId="3" fillId="9" borderId="20" pivotButton="0" quotePrefix="0" xfId="0"/>
    <xf numFmtId="0" fontId="3" fillId="9" borderId="20" pivotButton="0" quotePrefix="0" xfId="0"/>
    <xf numFmtId="164" fontId="8" fillId="9" borderId="20" pivotButton="0" quotePrefix="0" xfId="0"/>
    <xf numFmtId="10" fontId="8" fillId="9" borderId="20" pivotButton="0" quotePrefix="0" xfId="0"/>
    <xf numFmtId="164" fontId="8" fillId="9" borderId="21" pivotButton="0" quotePrefix="0" xfId="0"/>
    <xf numFmtId="0" fontId="9" fillId="3" borderId="0" applyAlignment="1" pivotButton="0" quotePrefix="0" xfId="0">
      <alignment horizontal="center" vertical="top"/>
    </xf>
    <xf numFmtId="164" fontId="3" fillId="3" borderId="0" pivotButton="0" quotePrefix="0" xfId="0"/>
    <xf numFmtId="10" fontId="3" fillId="3" borderId="35" pivotButton="0" quotePrefix="0" xfId="0"/>
    <xf numFmtId="0" fontId="11" fillId="3" borderId="0" pivotButton="0" quotePrefix="0" xfId="0"/>
    <xf numFmtId="0" fontId="9" fillId="5" borderId="36" applyAlignment="1" pivotButton="0" quotePrefix="0" xfId="0">
      <alignment horizontal="center" vertical="top"/>
    </xf>
    <xf numFmtId="0" fontId="3" fillId="5" borderId="0" pivotButton="0" quotePrefix="0" xfId="0"/>
    <xf numFmtId="0" fontId="3" fillId="10" borderId="0" pivotButton="0" quotePrefix="0" xfId="0"/>
    <xf numFmtId="10" fontId="3" fillId="5" borderId="0" pivotButton="0" quotePrefix="0" xfId="0"/>
    <xf numFmtId="164" fontId="3" fillId="5" borderId="37" pivotButton="0" quotePrefix="0" xfId="0"/>
    <xf numFmtId="0" fontId="9" fillId="5" borderId="38" applyAlignment="1" pivotButton="0" quotePrefix="0" xfId="0">
      <alignment horizontal="center" vertical="top"/>
    </xf>
    <xf numFmtId="0" fontId="3" fillId="5" borderId="39" pivotButton="0" quotePrefix="0" xfId="0"/>
    <xf numFmtId="164" fontId="3" fillId="5" borderId="40" pivotButton="0" quotePrefix="0" xfId="0"/>
    <xf numFmtId="0" fontId="3" fillId="5" borderId="40" pivotButton="0" quotePrefix="0" xfId="0"/>
    <xf numFmtId="10" fontId="3" fillId="5" borderId="40" pivotButton="0" quotePrefix="0" xfId="0"/>
    <xf numFmtId="164" fontId="3" fillId="5" borderId="41" pivotButton="0" quotePrefix="0" xfId="0"/>
    <xf numFmtId="0" fontId="3" fillId="5" borderId="42" pivotButton="0" quotePrefix="0" xfId="0"/>
    <xf numFmtId="0" fontId="3" fillId="5" borderId="37" pivotButton="0" quotePrefix="0" xfId="0"/>
    <xf numFmtId="10" fontId="3" fillId="5" borderId="37" pivotButton="0" quotePrefix="0" xfId="0"/>
    <xf numFmtId="0" fontId="3" fillId="5" borderId="43" pivotButton="0" quotePrefix="0" xfId="0"/>
    <xf numFmtId="164" fontId="3" fillId="5" borderId="25" pivotButton="0" quotePrefix="0" xfId="0"/>
    <xf numFmtId="0" fontId="3" fillId="5" borderId="25" pivotButton="0" quotePrefix="0" xfId="0"/>
    <xf numFmtId="0" fontId="3" fillId="5" borderId="43" applyAlignment="1" pivotButton="0" quotePrefix="0" xfId="0">
      <alignment vertical="bottom"/>
    </xf>
    <xf numFmtId="164" fontId="3" fillId="5" borderId="25" applyAlignment="1" pivotButton="0" quotePrefix="0" xfId="0">
      <alignment horizontal="right" vertical="bottom"/>
    </xf>
    <xf numFmtId="0" fontId="3" fillId="5" borderId="25" applyAlignment="1" pivotButton="0" quotePrefix="0" xfId="0">
      <alignment vertical="bottom"/>
    </xf>
    <xf numFmtId="164" fontId="3" fillId="5" borderId="37" applyAlignment="1" pivotButton="0" quotePrefix="0" xfId="0">
      <alignment horizontal="right" vertical="bottom"/>
    </xf>
    <xf numFmtId="10" fontId="3" fillId="5" borderId="37" applyAlignment="1" pivotButton="0" quotePrefix="0" xfId="0">
      <alignment horizontal="right" vertical="bottom"/>
    </xf>
    <xf numFmtId="164" fontId="3" fillId="5" borderId="10" applyAlignment="1" pivotButton="0" quotePrefix="0" xfId="0">
      <alignment horizontal="right" vertical="bottom"/>
    </xf>
    <xf numFmtId="0" fontId="11" fillId="5" borderId="43" pivotButton="0" quotePrefix="0" xfId="0"/>
    <xf numFmtId="164" fontId="11" fillId="5" borderId="25" pivotButton="0" quotePrefix="0" xfId="0"/>
    <xf numFmtId="0" fontId="11" fillId="5" borderId="25" pivotButton="0" quotePrefix="0" xfId="0"/>
    <xf numFmtId="0" fontId="11" fillId="10" borderId="0" pivotButton="0" quotePrefix="0" xfId="0"/>
    <xf numFmtId="164" fontId="11" fillId="5" borderId="37" pivotButton="0" quotePrefix="0" xfId="0"/>
    <xf numFmtId="10" fontId="11" fillId="5" borderId="37" pivotButton="0" quotePrefix="0" xfId="0"/>
    <xf numFmtId="164" fontId="11" fillId="5" borderId="10" pivotButton="0" quotePrefix="0" xfId="0"/>
    <xf numFmtId="0" fontId="3" fillId="5" borderId="44" pivotButton="0" quotePrefix="0" xfId="0"/>
    <xf numFmtId="164" fontId="3" fillId="5" borderId="45" pivotButton="0" quotePrefix="0" xfId="0"/>
    <xf numFmtId="0" fontId="3" fillId="5" borderId="45" pivotButton="0" quotePrefix="0" xfId="0"/>
    <xf numFmtId="0" fontId="3" fillId="10" borderId="32" pivotButton="0" quotePrefix="0" xfId="0"/>
    <xf numFmtId="10" fontId="3" fillId="5" borderId="45" pivotButton="0" quotePrefix="0" xfId="0"/>
    <xf numFmtId="0" fontId="9" fillId="5" borderId="46" applyAlignment="1" pivotButton="0" quotePrefix="0" xfId="0">
      <alignment horizontal="center" vertical="top"/>
    </xf>
    <xf numFmtId="0" fontId="8" fillId="5" borderId="47" applyAlignment="1" pivotButton="0" quotePrefix="0" xfId="0">
      <alignment horizontal="right"/>
    </xf>
    <xf numFmtId="164" fontId="3" fillId="5" borderId="48" pivotButton="0" quotePrefix="0" xfId="0"/>
    <xf numFmtId="0" fontId="3" fillId="5" borderId="48" pivotButton="0" quotePrefix="0" xfId="0"/>
    <xf numFmtId="164" fontId="8" fillId="5" borderId="48" pivotButton="0" quotePrefix="0" xfId="0"/>
    <xf numFmtId="10" fontId="8" fillId="5" borderId="48" pivotButton="0" quotePrefix="0" xfId="0"/>
    <xf numFmtId="164" fontId="8" fillId="5" borderId="49" pivotButton="0" quotePrefix="0" xfId="0"/>
    <xf numFmtId="0" fontId="9" fillId="0" borderId="0" pivotButton="0" quotePrefix="0" xfId="0"/>
    <xf numFmtId="10" fontId="3" fillId="0" borderId="0" pivotButton="0" quotePrefix="0" xfId="0"/>
    <xf numFmtId="164" fontId="3" fillId="11" borderId="0" pivotButton="0" quotePrefix="0" xfId="0"/>
    <xf numFmtId="0" fontId="9" fillId="12" borderId="26" applyAlignment="1" pivotButton="0" quotePrefix="0" xfId="0">
      <alignment horizontal="center" vertical="top"/>
    </xf>
    <xf numFmtId="0" fontId="10" fillId="13" borderId="43" pivotButton="0" quotePrefix="0" xfId="0"/>
    <xf numFmtId="164" fontId="13" fillId="13" borderId="25" pivotButton="0" quotePrefix="0" xfId="0"/>
    <xf numFmtId="0" fontId="13" fillId="13" borderId="25" pivotButton="0" quotePrefix="0" xfId="0"/>
    <xf numFmtId="10" fontId="13" fillId="13" borderId="25" pivotButton="0" quotePrefix="0" xfId="0"/>
    <xf numFmtId="164" fontId="13" fillId="13" borderId="50" pivotButton="0" quotePrefix="0" xfId="0"/>
    <xf numFmtId="0" fontId="3" fillId="12" borderId="51" pivotButton="0" quotePrefix="0" xfId="0"/>
    <xf numFmtId="164" fontId="3" fillId="12" borderId="52" pivotButton="0" quotePrefix="0" xfId="0"/>
    <xf numFmtId="0" fontId="3" fillId="12" borderId="52" pivotButton="0" quotePrefix="0" xfId="0"/>
    <xf numFmtId="0" fontId="3" fillId="3" borderId="52" pivotButton="0" quotePrefix="0" xfId="0"/>
    <xf numFmtId="10" fontId="3" fillId="12" borderId="52" pivotButton="0" quotePrefix="0" xfId="0"/>
    <xf numFmtId="164" fontId="3" fillId="12" borderId="53" pivotButton="0" quotePrefix="0" xfId="0"/>
    <xf numFmtId="0" fontId="3" fillId="12" borderId="42" pivotButton="0" quotePrefix="0" xfId="0"/>
    <xf numFmtId="164" fontId="3" fillId="12" borderId="37" pivotButton="0" quotePrefix="0" xfId="0"/>
    <xf numFmtId="0" fontId="3" fillId="12" borderId="37" pivotButton="0" quotePrefix="0" xfId="0"/>
    <xf numFmtId="0" fontId="3" fillId="3" borderId="37" pivotButton="0" quotePrefix="0" xfId="0"/>
    <xf numFmtId="10" fontId="3" fillId="12" borderId="37" pivotButton="0" quotePrefix="0" xfId="0"/>
    <xf numFmtId="164" fontId="3" fillId="12" borderId="54" pivotButton="0" quotePrefix="0" xfId="0"/>
    <xf numFmtId="0" fontId="3" fillId="12" borderId="43" pivotButton="0" quotePrefix="0" xfId="0"/>
    <xf numFmtId="164" fontId="3" fillId="12" borderId="25" pivotButton="0" quotePrefix="0" xfId="0"/>
    <xf numFmtId="0" fontId="3" fillId="12" borderId="25" pivotButton="0" quotePrefix="0" xfId="0"/>
    <xf numFmtId="0" fontId="3" fillId="3" borderId="25" pivotButton="0" quotePrefix="0" xfId="0"/>
    <xf numFmtId="164" fontId="14" fillId="12" borderId="25" pivotButton="0" quotePrefix="0" xfId="0"/>
    <xf numFmtId="0" fontId="3" fillId="12" borderId="55" pivotButton="0" quotePrefix="0" xfId="0"/>
    <xf numFmtId="164" fontId="3" fillId="12" borderId="56" pivotButton="0" quotePrefix="0" xfId="0"/>
    <xf numFmtId="0" fontId="3" fillId="12" borderId="56" pivotButton="0" quotePrefix="0" xfId="0"/>
    <xf numFmtId="0" fontId="3" fillId="3" borderId="57" pivotButton="0" quotePrefix="0" xfId="0"/>
    <xf numFmtId="164" fontId="3" fillId="12" borderId="58" pivotButton="0" quotePrefix="0" xfId="0"/>
    <xf numFmtId="10" fontId="3" fillId="12" borderId="58" pivotButton="0" quotePrefix="0" xfId="0"/>
    <xf numFmtId="164" fontId="3" fillId="12" borderId="59" pivotButton="0" quotePrefix="0" xfId="0"/>
    <xf numFmtId="0" fontId="3" fillId="12" borderId="39" pivotButton="0" quotePrefix="0" xfId="0"/>
    <xf numFmtId="164" fontId="3" fillId="12" borderId="40" pivotButton="0" quotePrefix="0" xfId="0"/>
    <xf numFmtId="0" fontId="3" fillId="12" borderId="40" pivotButton="0" quotePrefix="0" xfId="0"/>
    <xf numFmtId="0" fontId="3" fillId="3" borderId="40" pivotButton="0" quotePrefix="0" xfId="0"/>
    <xf numFmtId="10" fontId="3" fillId="12" borderId="40" pivotButton="0" quotePrefix="0" xfId="0"/>
    <xf numFmtId="164" fontId="3" fillId="12" borderId="60" pivotButton="0" quotePrefix="0" xfId="0"/>
    <xf numFmtId="0" fontId="3" fillId="12" borderId="44" pivotButton="0" quotePrefix="0" xfId="0"/>
    <xf numFmtId="164" fontId="3" fillId="12" borderId="45" pivotButton="0" quotePrefix="0" xfId="0"/>
    <xf numFmtId="0" fontId="3" fillId="12" borderId="45" pivotButton="0" quotePrefix="0" xfId="0"/>
    <xf numFmtId="0" fontId="3" fillId="3" borderId="45" pivotButton="0" quotePrefix="0" xfId="0"/>
    <xf numFmtId="10" fontId="3" fillId="12" borderId="45" pivotButton="0" quotePrefix="0" xfId="0"/>
    <xf numFmtId="164" fontId="3" fillId="12" borderId="61" pivotButton="0" quotePrefix="0" xfId="0"/>
    <xf numFmtId="0" fontId="8" fillId="12" borderId="62" applyAlignment="1" pivotButton="0" quotePrefix="0" xfId="0">
      <alignment horizontal="right"/>
    </xf>
    <xf numFmtId="164" fontId="8" fillId="12" borderId="63" pivotButton="0" quotePrefix="0" xfId="0"/>
    <xf numFmtId="0" fontId="8" fillId="12" borderId="63" pivotButton="0" quotePrefix="0" xfId="0"/>
    <xf numFmtId="10" fontId="8" fillId="12" borderId="63" pivotButton="0" quotePrefix="0" xfId="0"/>
    <xf numFmtId="164" fontId="8" fillId="12" borderId="64" pivotButton="0" quotePrefix="0" xfId="0"/>
    <xf numFmtId="164" fontId="10" fillId="13" borderId="0" applyAlignment="1" pivotButton="0" quotePrefix="0" xfId="0">
      <alignment horizontal="center"/>
    </xf>
    <xf numFmtId="0" fontId="5" fillId="13" borderId="0" applyAlignment="1" pivotButton="0" quotePrefix="0" xfId="0">
      <alignment horizontal="center"/>
    </xf>
    <xf numFmtId="0" fontId="10" fillId="13" borderId="25" applyAlignment="1" pivotButton="0" quotePrefix="0" xfId="0">
      <alignment horizontal="center"/>
    </xf>
    <xf numFmtId="164" fontId="3" fillId="11" borderId="52" pivotButton="0" quotePrefix="0" xfId="0"/>
    <xf numFmtId="164" fontId="3" fillId="11" borderId="37" pivotButton="0" quotePrefix="0" xfId="0"/>
    <xf numFmtId="164" fontId="10" fillId="8" borderId="0" applyAlignment="1" pivotButton="0" quotePrefix="0" xfId="0">
      <alignment horizontal="center" vertical="bottom"/>
    </xf>
    <xf numFmtId="164" fontId="5" fillId="8" borderId="0" applyAlignment="1" pivotButton="0" quotePrefix="0" xfId="0">
      <alignment horizontal="center" vertical="bottom"/>
    </xf>
    <xf numFmtId="0" fontId="10" fillId="8" borderId="25" applyAlignment="1" pivotButton="0" quotePrefix="0" xfId="0">
      <alignment horizontal="center" vertical="bottom"/>
    </xf>
    <xf numFmtId="164" fontId="14" fillId="12" borderId="37" pivotButton="0" quotePrefix="0" xfId="0"/>
    <xf numFmtId="0" fontId="11" fillId="12" borderId="42" pivotButton="0" quotePrefix="0" xfId="0"/>
    <xf numFmtId="0" fontId="11" fillId="12" borderId="43" pivotButton="0" quotePrefix="0" xfId="0"/>
    <xf numFmtId="10" fontId="3" fillId="12" borderId="25" pivotButton="0" quotePrefix="0" xfId="0"/>
    <xf numFmtId="164" fontId="3" fillId="12" borderId="50" pivotButton="0" quotePrefix="0" xfId="0"/>
    <xf numFmtId="0" fontId="10" fillId="13" borderId="1" pivotButton="0" quotePrefix="0" xfId="0"/>
    <xf numFmtId="164" fontId="13" fillId="13" borderId="65" pivotButton="0" quotePrefix="0" xfId="0"/>
    <xf numFmtId="0" fontId="13" fillId="13" borderId="65" pivotButton="0" quotePrefix="0" xfId="0"/>
    <xf numFmtId="10" fontId="13" fillId="13" borderId="65" pivotButton="0" quotePrefix="0" xfId="0"/>
    <xf numFmtId="164" fontId="13" fillId="13" borderId="66" pivotButton="0" quotePrefix="0" xfId="0"/>
    <xf numFmtId="0" fontId="3" fillId="14" borderId="67" pivotButton="0" quotePrefix="0" xfId="0"/>
    <xf numFmtId="164" fontId="10" fillId="14" borderId="35" applyAlignment="1" pivotButton="0" quotePrefix="0" xfId="0">
      <alignment horizontal="right"/>
    </xf>
    <xf numFmtId="0" fontId="10" fillId="14" borderId="35" applyAlignment="1" pivotButton="0" quotePrefix="0" xfId="0">
      <alignment horizontal="right"/>
    </xf>
    <xf numFmtId="164" fontId="3" fillId="14" borderId="35" pivotButton="0" quotePrefix="0" xfId="0"/>
    <xf numFmtId="10" fontId="3" fillId="14" borderId="35" pivotButton="0" quotePrefix="0" xfId="0"/>
    <xf numFmtId="164" fontId="3" fillId="14" borderId="68" pivotButton="0" quotePrefix="0" xfId="0"/>
    <xf numFmtId="0" fontId="8" fillId="12" borderId="69" pivotButton="0" quotePrefix="0" xfId="0"/>
    <xf numFmtId="164" fontId="8" fillId="12" borderId="70" pivotButton="0" quotePrefix="0" xfId="0"/>
    <xf numFmtId="10" fontId="8" fillId="12" borderId="62" pivotButton="0" quotePrefix="0" xfId="0"/>
    <xf numFmtId="164" fontId="13" fillId="13" borderId="35" pivotButton="0" quotePrefix="0" xfId="0"/>
    <xf numFmtId="0" fontId="15" fillId="0" borderId="0" pivotButton="0" quotePrefix="0" xfId="0"/>
    <xf numFmtId="0" fontId="3" fillId="12" borderId="43" applyAlignment="1" pivotButton="0" quotePrefix="0" xfId="0">
      <alignment vertical="bottom"/>
    </xf>
    <xf numFmtId="164" fontId="3" fillId="12" borderId="25" applyAlignment="1" pivotButton="0" quotePrefix="0" xfId="0">
      <alignment horizontal="right" vertical="bottom"/>
    </xf>
    <xf numFmtId="0" fontId="3" fillId="12" borderId="25" applyAlignment="1" pivotButton="0" quotePrefix="0" xfId="0">
      <alignment vertical="bottom"/>
    </xf>
    <xf numFmtId="0" fontId="3" fillId="3" borderId="25" applyAlignment="1" pivotButton="0" quotePrefix="0" xfId="0">
      <alignment horizontal="right" vertical="bottom"/>
    </xf>
    <xf numFmtId="164" fontId="3" fillId="12" borderId="37" applyAlignment="1" pivotButton="0" quotePrefix="0" xfId="0">
      <alignment horizontal="right" vertical="bottom"/>
    </xf>
    <xf numFmtId="10" fontId="3" fillId="12" borderId="37" applyAlignment="1" pivotButton="0" quotePrefix="0" xfId="0">
      <alignment horizontal="right" vertical="bottom"/>
    </xf>
    <xf numFmtId="164" fontId="3" fillId="12" borderId="54" applyAlignment="1" pivotButton="0" quotePrefix="0" xfId="0">
      <alignment horizontal="right" vertical="bottom"/>
    </xf>
    <xf numFmtId="0" fontId="3" fillId="12" borderId="71" pivotButton="0" quotePrefix="0" xfId="0"/>
    <xf numFmtId="164" fontId="3" fillId="12" borderId="43" pivotButton="0" quotePrefix="0" xfId="0"/>
    <xf numFmtId="0" fontId="10" fillId="13" borderId="72" pivotButton="0" quotePrefix="0" xfId="0"/>
    <xf numFmtId="164" fontId="13" fillId="13" borderId="73" pivotButton="0" quotePrefix="0" xfId="0"/>
    <xf numFmtId="0" fontId="13" fillId="13" borderId="73" pivotButton="0" quotePrefix="0" xfId="0"/>
    <xf numFmtId="10" fontId="13" fillId="13" borderId="73" pivotButton="0" quotePrefix="0" xfId="0"/>
    <xf numFmtId="164" fontId="13" fillId="13" borderId="74" pivotButton="0" quotePrefix="0" xfId="0"/>
    <xf numFmtId="0" fontId="3" fillId="12" borderId="75" pivotButton="0" quotePrefix="0" xfId="0"/>
    <xf numFmtId="3" fontId="3" fillId="12" borderId="25" pivotButton="0" quotePrefix="0" xfId="0"/>
    <xf numFmtId="0" fontId="3" fillId="12" borderId="76" pivotButton="0" quotePrefix="0" xfId="0"/>
    <xf numFmtId="0" fontId="3" fillId="12" borderId="77" pivotButton="0" quotePrefix="0" xfId="0"/>
    <xf numFmtId="0" fontId="3" fillId="12" borderId="0" pivotButton="0" quotePrefix="0" xfId="0"/>
    <xf numFmtId="0" fontId="3" fillId="12" borderId="78" pivotButton="0" quotePrefix="0" xfId="0"/>
    <xf numFmtId="0" fontId="3" fillId="12" borderId="32" pivotButton="0" quotePrefix="0" xfId="0"/>
    <xf numFmtId="3" fontId="3" fillId="12" borderId="45" pivotButton="0" quotePrefix="0" xfId="0"/>
    <xf numFmtId="0" fontId="8" fillId="12" borderId="79" applyAlignment="1" pivotButton="0" quotePrefix="0" xfId="0">
      <alignment horizontal="right"/>
    </xf>
    <xf numFmtId="0" fontId="9" fillId="15" borderId="79" applyAlignment="1" pivotButton="0" quotePrefix="0" xfId="0">
      <alignment horizontal="center" vertical="top"/>
    </xf>
    <xf numFmtId="0" fontId="8" fillId="15" borderId="62" applyAlignment="1" pivotButton="0" quotePrefix="0" xfId="0">
      <alignment horizontal="right"/>
    </xf>
    <xf numFmtId="164" fontId="8" fillId="15" borderId="63" pivotButton="0" quotePrefix="0" xfId="0"/>
    <xf numFmtId="0" fontId="8" fillId="15" borderId="63" pivotButton="0" quotePrefix="0" xfId="0"/>
    <xf numFmtId="10" fontId="8" fillId="15" borderId="63" pivotButton="0" quotePrefix="0" xfId="0"/>
    <xf numFmtId="0" fontId="8" fillId="5" borderId="25" applyAlignment="1" pivotButton="0" quotePrefix="0" xfId="0">
      <alignment horizontal="right"/>
    </xf>
    <xf numFmtId="165" fontId="3" fillId="0" borderId="0" pivotButton="0" quotePrefix="0" xfId="0"/>
    <xf numFmtId="0" fontId="2" fillId="16" borderId="3" applyAlignment="1" pivotButton="0" quotePrefix="0" xfId="0">
      <alignment horizontal="center"/>
    </xf>
    <xf numFmtId="0" fontId="10" fillId="16" borderId="4" applyAlignment="1" pivotButton="0" quotePrefix="0" xfId="0">
      <alignment horizontal="center"/>
    </xf>
    <xf numFmtId="0" fontId="2" fillId="16" borderId="5" applyAlignment="1" pivotButton="0" quotePrefix="0" xfId="0">
      <alignment horizontal="center"/>
    </xf>
    <xf numFmtId="0" fontId="3" fillId="17" borderId="9" applyAlignment="1" pivotButton="0" quotePrefix="0" xfId="0">
      <alignment horizontal="right"/>
    </xf>
    <xf numFmtId="37" fontId="3" fillId="5" borderId="11" pivotButton="0" quotePrefix="0" xfId="0"/>
    <xf numFmtId="0" fontId="3" fillId="17" borderId="15" applyAlignment="1" pivotButton="0" quotePrefix="0" xfId="0">
      <alignment horizontal="right"/>
    </xf>
    <xf numFmtId="37" fontId="3" fillId="5" borderId="17" pivotButton="0" quotePrefix="0" xfId="0"/>
    <xf numFmtId="0" fontId="8" fillId="17" borderId="22" applyAlignment="1" pivotButton="0" quotePrefix="0" xfId="0">
      <alignment horizontal="right"/>
    </xf>
    <xf numFmtId="37" fontId="3" fillId="5" borderId="24" pivotButton="0" quotePrefix="0" xfId="0"/>
    <xf numFmtId="0" fontId="16" fillId="0" borderId="0" applyAlignment="1" pivotButton="0" quotePrefix="0" xfId="0">
      <alignment vertical="bottom"/>
    </xf>
    <xf numFmtId="0" fontId="6" fillId="0" borderId="0" applyAlignment="1" pivotButton="0" quotePrefix="0" xfId="0">
      <alignment vertical="bottom"/>
    </xf>
    <xf numFmtId="0" fontId="17" fillId="0" borderId="0" applyAlignment="1" pivotButton="0" quotePrefix="0" xfId="0">
      <alignment vertical="bottom"/>
    </xf>
    <xf numFmtId="0" fontId="5" fillId="18" borderId="80" pivotButton="0" quotePrefix="0" xfId="0"/>
    <xf numFmtId="164" fontId="10" fillId="18" borderId="81" applyAlignment="1" pivotButton="0" quotePrefix="0" xfId="0">
      <alignment horizontal="center"/>
    </xf>
    <xf numFmtId="0" fontId="5" fillId="18" borderId="81" applyAlignment="1" pivotButton="0" quotePrefix="0" xfId="0">
      <alignment horizontal="center"/>
    </xf>
    <xf numFmtId="0" fontId="10" fillId="18" borderId="73" applyAlignment="1" pivotButton="0" quotePrefix="0" xfId="0">
      <alignment horizontal="center"/>
    </xf>
    <xf numFmtId="164" fontId="10" fillId="18" borderId="82" applyAlignment="1" pivotButton="0" quotePrefix="0" xfId="0">
      <alignment horizontal="center"/>
    </xf>
    <xf numFmtId="3" fontId="3" fillId="12" borderId="25" applyAlignment="1" pivotButton="0" quotePrefix="0" xfId="0">
      <alignment horizontal="center"/>
    </xf>
    <xf numFmtId="164" fontId="3" fillId="12" borderId="0" pivotButton="0" quotePrefix="0" xfId="0"/>
    <xf numFmtId="3" fontId="3" fillId="12" borderId="0" applyAlignment="1" pivotButton="0" quotePrefix="0" xfId="0">
      <alignment horizontal="center"/>
    </xf>
    <xf numFmtId="164" fontId="3" fillId="12" borderId="83" pivotButton="0" quotePrefix="0" xfId="0"/>
    <xf numFmtId="164" fontId="3" fillId="12" borderId="32" pivotButton="0" quotePrefix="0" xfId="0"/>
    <xf numFmtId="3" fontId="3" fillId="12" borderId="32" applyAlignment="1" pivotButton="0" quotePrefix="0" xfId="0">
      <alignment horizontal="center"/>
    </xf>
    <xf numFmtId="164" fontId="3" fillId="12" borderId="84" pivotButton="0" quotePrefix="0" xfId="0"/>
    <xf numFmtId="0" fontId="8" fillId="12" borderId="63" applyAlignment="1" pivotButton="0" quotePrefix="0" xfId="0">
      <alignment horizontal="center"/>
    </xf>
    <xf numFmtId="0" fontId="5" fillId="19" borderId="27" pivotButton="0" quotePrefix="0" xfId="0"/>
    <xf numFmtId="0" fontId="5" fillId="19" borderId="29" pivotButton="0" quotePrefix="0" xfId="0"/>
    <xf numFmtId="0" fontId="6" fillId="3" borderId="0" applyAlignment="1" pivotButton="0" quotePrefix="0" xfId="0">
      <alignment vertical="bottom"/>
    </xf>
    <xf numFmtId="0" fontId="5" fillId="8" borderId="80" applyAlignment="1" pivotButton="0" quotePrefix="0" xfId="0">
      <alignment horizontal="right" vertical="bottom"/>
    </xf>
    <xf numFmtId="0" fontId="5" fillId="8" borderId="81" applyAlignment="1" pivotButton="0" quotePrefix="0" xfId="0">
      <alignment horizontal="right" vertical="bottom"/>
    </xf>
    <xf numFmtId="0" fontId="5" fillId="8" borderId="82" applyAlignment="1" pivotButton="0" quotePrefix="0" xfId="0">
      <alignment horizontal="right" vertical="bottom"/>
    </xf>
    <xf numFmtId="0" fontId="6" fillId="9" borderId="12" applyAlignment="1" pivotButton="0" quotePrefix="0" xfId="0">
      <alignment horizontal="right" vertical="bottom"/>
    </xf>
    <xf numFmtId="166" fontId="6" fillId="3" borderId="14" applyAlignment="1" pivotButton="0" quotePrefix="0" xfId="0">
      <alignment horizontal="right" vertical="bottom"/>
    </xf>
    <xf numFmtId="0" fontId="6" fillId="20" borderId="77" applyAlignment="1" pivotButton="0" quotePrefix="0" xfId="0">
      <alignment horizontal="right" vertical="bottom"/>
    </xf>
    <xf numFmtId="166" fontId="6" fillId="20" borderId="0" applyAlignment="1" pivotButton="0" quotePrefix="0" xfId="0">
      <alignment horizontal="right" vertical="bottom"/>
    </xf>
    <xf numFmtId="166" fontId="6" fillId="20" borderId="83" applyAlignment="1" pivotButton="0" quotePrefix="0" xfId="0">
      <alignment horizontal="right" vertical="bottom"/>
    </xf>
    <xf numFmtId="0" fontId="6" fillId="9" borderId="18" applyAlignment="1" pivotButton="0" quotePrefix="0" xfId="0">
      <alignment horizontal="right" vertical="bottom"/>
    </xf>
    <xf numFmtId="9" fontId="6" fillId="3" borderId="21" applyAlignment="1" pivotButton="0" quotePrefix="0" xfId="0">
      <alignment horizontal="right" vertical="bottom"/>
    </xf>
    <xf numFmtId="0" fontId="6" fillId="20" borderId="85" applyAlignment="1" pivotButton="0" quotePrefix="0" xfId="0">
      <alignment horizontal="right" vertical="bottom"/>
    </xf>
    <xf numFmtId="166" fontId="6" fillId="20" borderId="86" applyAlignment="1" pivotButton="0" quotePrefix="0" xfId="0">
      <alignment horizontal="right" vertical="bottom"/>
    </xf>
    <xf numFmtId="166" fontId="6" fillId="20" borderId="87" applyAlignment="1" pivotButton="0" quotePrefix="0" xfId="0">
      <alignment horizontal="right" vertical="bottom"/>
    </xf>
    <xf numFmtId="0" fontId="18" fillId="3" borderId="0" applyAlignment="1" pivotButton="0" quotePrefix="0" xfId="0">
      <alignment vertical="bottom"/>
    </xf>
    <xf numFmtId="0" fontId="18" fillId="19" borderId="0" applyAlignment="1" pivotButton="0" quotePrefix="0" xfId="0">
      <alignment vertical="bottom"/>
    </xf>
    <xf numFmtId="0" fontId="6" fillId="19" borderId="0" applyAlignment="1" pivotButton="0" quotePrefix="0" xfId="0">
      <alignment vertical="bottom"/>
    </xf>
    <xf numFmtId="0" fontId="19" fillId="9" borderId="0" applyAlignment="1" pivotButton="0" quotePrefix="0" xfId="0">
      <alignment vertical="bottom"/>
    </xf>
    <xf numFmtId="0" fontId="20" fillId="9" borderId="0" applyAlignment="1" pivotButton="0" quotePrefix="0" xfId="0">
      <alignment vertical="bottom"/>
    </xf>
    <xf numFmtId="166" fontId="19" fillId="9" borderId="0" applyAlignment="1" pivotButton="0" quotePrefix="0" xfId="0">
      <alignment vertical="bottom"/>
    </xf>
    <xf numFmtId="0" fontId="20" fillId="3" borderId="0" applyAlignment="1" pivotButton="0" quotePrefix="0" xfId="0">
      <alignment horizontal="right" vertical="bottom"/>
    </xf>
    <xf numFmtId="166" fontId="20" fillId="9" borderId="0" applyAlignment="1" pivotButton="0" quotePrefix="0" xfId="0">
      <alignment horizontal="right" vertical="bottom"/>
    </xf>
    <xf numFmtId="3" fontId="20" fillId="3" borderId="0" applyAlignment="1" pivotButton="0" quotePrefix="0" xfId="0">
      <alignment horizontal="right" vertical="bottom"/>
    </xf>
    <xf numFmtId="3" fontId="20" fillId="3" borderId="0" applyAlignment="1" pivotButton="0" quotePrefix="0" xfId="0">
      <alignment vertical="bottom"/>
    </xf>
    <xf numFmtId="0" fontId="20" fillId="9" borderId="0" pivotButton="0" quotePrefix="0" xfId="0"/>
    <xf numFmtId="0" fontId="20" fillId="3" borderId="0" applyAlignment="1" pivotButton="0" quotePrefix="0" xfId="0">
      <alignment vertical="bottom"/>
    </xf>
    <xf numFmtId="166" fontId="20" fillId="3" borderId="0" applyAlignment="1" pivotButton="0" quotePrefix="0" xfId="0">
      <alignment vertical="bottom"/>
    </xf>
    <xf numFmtId="166" fontId="19" fillId="9" borderId="0" applyAlignment="1" pivotButton="0" quotePrefix="0" xfId="0">
      <alignment horizontal="right" vertical="bottom"/>
    </xf>
    <xf numFmtId="0" fontId="20" fillId="9" borderId="32" applyAlignment="1" pivotButton="0" quotePrefix="0" xfId="0">
      <alignment vertical="bottom"/>
    </xf>
    <xf numFmtId="0" fontId="20" fillId="3" borderId="32" applyAlignment="1" pivotButton="0" quotePrefix="0" xfId="0">
      <alignment vertical="bottom"/>
    </xf>
    <xf numFmtId="166" fontId="20" fillId="9" borderId="32" applyAlignment="1" pivotButton="0" quotePrefix="0" xfId="0">
      <alignment horizontal="right" vertical="bottom"/>
    </xf>
    <xf numFmtId="0" fontId="20" fillId="3" borderId="32" applyAlignment="1" pivotButton="0" quotePrefix="0" xfId="0">
      <alignment horizontal="right" vertical="bottom"/>
    </xf>
    <xf numFmtId="166" fontId="20" fillId="9" borderId="0" applyAlignment="1" pivotButton="0" quotePrefix="0" xfId="0">
      <alignment vertical="bottom"/>
    </xf>
    <xf numFmtId="0" fontId="19" fillId="9" borderId="0" applyAlignment="1" pivotButton="0" quotePrefix="0" xfId="0">
      <alignment horizontal="right" vertical="bottom"/>
    </xf>
    <xf numFmtId="0" fontId="19" fillId="9" borderId="32" applyAlignment="1" pivotButton="0" quotePrefix="0" xfId="0">
      <alignment horizontal="right" vertical="bottom"/>
    </xf>
    <xf numFmtId="0" fontId="19" fillId="9" borderId="32" applyAlignment="1" pivotButton="0" quotePrefix="0" xfId="0">
      <alignment vertical="bottom"/>
    </xf>
    <xf numFmtId="166" fontId="19" fillId="9" borderId="32" applyAlignment="1" pivotButton="0" quotePrefix="0" xfId="0">
      <alignment horizontal="right" vertical="bottom"/>
    </xf>
    <xf numFmtId="164" fontId="20" fillId="9" borderId="32" applyAlignment="1" pivotButton="0" quotePrefix="0" xfId="0">
      <alignment vertical="bottom"/>
    </xf>
    <xf numFmtId="3" fontId="20" fillId="0" borderId="32" applyAlignment="1" pivotButton="0" quotePrefix="0" xfId="0">
      <alignment vertical="bottom"/>
    </xf>
    <xf numFmtId="166" fontId="6" fillId="3" borderId="0" applyAlignment="1" pivotButton="0" quotePrefix="0" xfId="0">
      <alignment vertical="bottom"/>
    </xf>
    <xf numFmtId="166" fontId="6" fillId="0" borderId="0" applyAlignment="1" pivotButton="0" quotePrefix="0" xfId="0">
      <alignment vertical="bottom"/>
    </xf>
    <xf numFmtId="0" fontId="15" fillId="9" borderId="0" applyAlignment="1" pivotButton="0" quotePrefix="0" xfId="0">
      <alignment vertical="bottom"/>
    </xf>
    <xf numFmtId="0" fontId="6" fillId="9" borderId="0" applyAlignment="1" pivotButton="0" quotePrefix="0" xfId="0">
      <alignment vertical="bottom"/>
    </xf>
    <xf numFmtId="166" fontId="15" fillId="9" borderId="0" applyAlignment="1" pivotButton="0" quotePrefix="0" xfId="0">
      <alignment vertical="bottom"/>
    </xf>
    <xf numFmtId="0" fontId="6" fillId="0" borderId="0" applyAlignment="1" pivotButton="0" quotePrefix="0" xfId="0">
      <alignment horizontal="right" vertical="bottom"/>
    </xf>
    <xf numFmtId="0" fontId="6" fillId="21" borderId="0" applyAlignment="1" pivotButton="0" quotePrefix="0" xfId="0">
      <alignment vertical="bottom"/>
    </xf>
    <xf numFmtId="0" fontId="6" fillId="3" borderId="0" applyAlignment="1" pivotButton="0" quotePrefix="0" xfId="0">
      <alignment horizontal="right" vertical="bottom"/>
    </xf>
    <xf numFmtId="166" fontId="6" fillId="9" borderId="0" applyAlignment="1" pivotButton="0" quotePrefix="0" xfId="0">
      <alignment horizontal="right" vertical="bottom"/>
    </xf>
    <xf numFmtId="166" fontId="6" fillId="9" borderId="0" applyAlignment="1" pivotButton="0" quotePrefix="0" xfId="0">
      <alignment horizontal="right" vertical="bottom"/>
    </xf>
    <xf numFmtId="3" fontId="6" fillId="3" borderId="0" applyAlignment="1" pivotButton="0" quotePrefix="0" xfId="0">
      <alignment horizontal="right" vertical="bottom"/>
    </xf>
    <xf numFmtId="3" fontId="6" fillId="3" borderId="0" applyAlignment="1" pivotButton="0" quotePrefix="0" xfId="0">
      <alignment vertical="bottom"/>
    </xf>
    <xf numFmtId="0" fontId="6" fillId="9" borderId="32" applyAlignment="1" pivotButton="0" quotePrefix="0" xfId="0">
      <alignment vertical="bottom"/>
    </xf>
    <xf numFmtId="3" fontId="6" fillId="3" borderId="32" applyAlignment="1" pivotButton="0" quotePrefix="0" xfId="0">
      <alignment vertical="bottom"/>
    </xf>
    <xf numFmtId="166" fontId="6" fillId="9" borderId="32" applyAlignment="1" pivotButton="0" quotePrefix="0" xfId="0">
      <alignment horizontal="right" vertical="bottom"/>
    </xf>
    <xf numFmtId="0" fontId="6" fillId="0" borderId="0" applyAlignment="1" pivotButton="0" quotePrefix="0" xfId="0">
      <alignment horizontal="right" vertical="bottom"/>
    </xf>
    <xf numFmtId="166" fontId="6" fillId="9" borderId="0" applyAlignment="1" pivotButton="0" quotePrefix="0" xfId="0">
      <alignment vertical="bottom"/>
    </xf>
    <xf numFmtId="0" fontId="6" fillId="3" borderId="32" applyAlignment="1" pivotButton="0" quotePrefix="0" xfId="0">
      <alignment horizontal="right" vertical="bottom"/>
    </xf>
    <xf numFmtId="166" fontId="8" fillId="9" borderId="0" applyAlignment="1" pivotButton="0" quotePrefix="0" xfId="0">
      <alignment horizontal="right" vertical="bottom"/>
    </xf>
    <xf numFmtId="0" fontId="15" fillId="9" borderId="32" applyAlignment="1" pivotButton="0" quotePrefix="0" xfId="0">
      <alignment horizontal="right" vertical="bottom"/>
    </xf>
    <xf numFmtId="0" fontId="19" fillId="3" borderId="0" applyAlignment="1" pivotButton="0" quotePrefix="0" xfId="0">
      <alignment horizontal="right" vertical="bottom"/>
    </xf>
    <xf numFmtId="0" fontId="19" fillId="3" borderId="0" applyAlignment="1" pivotButton="0" quotePrefix="0" xfId="0">
      <alignment vertical="bottom"/>
    </xf>
    <xf numFmtId="164" fontId="6" fillId="0" borderId="0" applyAlignment="1" pivotButton="0" quotePrefix="0" xfId="0">
      <alignment vertical="bottom"/>
    </xf>
    <xf numFmtId="3" fontId="6" fillId="3" borderId="0" applyAlignment="1" pivotButton="0" quotePrefix="0" xfId="0">
      <alignment horizontal="right" vertical="bottom"/>
    </xf>
    <xf numFmtId="3" fontId="6" fillId="3" borderId="0" applyAlignment="1" pivotButton="0" quotePrefix="0" xfId="0">
      <alignment vertical="bottom"/>
    </xf>
    <xf numFmtId="0" fontId="15" fillId="9" borderId="0" applyAlignment="1" pivotButton="0" quotePrefix="0" xfId="0">
      <alignment horizontal="right" vertical="bottom"/>
    </xf>
    <xf numFmtId="0" fontId="21" fillId="0" borderId="0" applyAlignment="1" pivotButton="0" quotePrefix="0" xfId="0">
      <alignment vertical="bottom"/>
    </xf>
    <xf numFmtId="0" fontId="22" fillId="0" borderId="13" pivotButton="0" quotePrefix="0" xfId="0"/>
    <xf numFmtId="0" fontId="6" fillId="0" borderId="32" applyAlignment="1" pivotButton="0" quotePrefix="0" xfId="0">
      <alignment horizontal="right" vertical="bottom"/>
    </xf>
    <xf numFmtId="0" fontId="6" fillId="9" borderId="0" pivotButton="0" quotePrefix="0" xfId="0"/>
    <xf numFmtId="0" fontId="23" fillId="3" borderId="0" applyAlignment="1" pivotButton="0" quotePrefix="0" xfId="0">
      <alignment vertical="bottom"/>
    </xf>
    <xf numFmtId="0" fontId="15" fillId="3" borderId="0" applyAlignment="1" pivotButton="0" quotePrefix="0" xfId="0">
      <alignment vertical="bottom"/>
    </xf>
    <xf numFmtId="166" fontId="6" fillId="3" borderId="0" applyAlignment="1" pivotButton="0" quotePrefix="0" xfId="0">
      <alignment horizontal="right" vertical="bottom"/>
    </xf>
    <xf numFmtId="0" fontId="6" fillId="3" borderId="0" applyAlignment="1" pivotButton="0" quotePrefix="0" xfId="0">
      <alignment vertical="bottom" wrapText="1"/>
    </xf>
    <xf numFmtId="166" fontId="6" fillId="3" borderId="0" applyAlignment="1" pivotButton="0" quotePrefix="0" xfId="0">
      <alignment horizontal="right" vertical="bottom" wrapText="1"/>
    </xf>
    <xf numFmtId="0" fontId="15" fillId="3" borderId="0" applyAlignment="1" pivotButton="0" quotePrefix="0" xfId="0">
      <alignment horizontal="right" vertical="bottom"/>
    </xf>
    <xf numFmtId="164" fontId="6" fillId="3" borderId="0" applyAlignment="1" pivotButton="0" quotePrefix="0" xfId="0">
      <alignment horizontal="right" vertical="bottom"/>
    </xf>
    <xf numFmtId="166" fontId="15" fillId="3" borderId="0" applyAlignment="1" pivotButton="0" quotePrefix="0" xfId="0">
      <alignment horizontal="right" vertical="bottom"/>
    </xf>
    <xf numFmtId="0" fontId="24" fillId="8" borderId="0" pivotButton="0" quotePrefix="0" xfId="0"/>
    <xf numFmtId="0" fontId="24" fillId="8" borderId="0" applyAlignment="1" pivotButton="0" quotePrefix="0" xfId="0">
      <alignment horizontal="center"/>
    </xf>
    <xf numFmtId="0" fontId="25" fillId="0" borderId="0" pivotButton="0" quotePrefix="0" xfId="0"/>
    <xf numFmtId="0" fontId="9" fillId="3" borderId="88" pivotButton="0" quotePrefix="0" xfId="0"/>
    <xf numFmtId="0" fontId="26" fillId="0" borderId="88" applyAlignment="1" pivotButton="0" quotePrefix="0" xfId="0">
      <alignment wrapText="1"/>
    </xf>
    <xf numFmtId="0" fontId="25" fillId="0" borderId="0" applyAlignment="1" pivotButton="0" quotePrefix="0" xfId="0">
      <alignment wrapText="1"/>
    </xf>
    <xf numFmtId="0" fontId="26" fillId="0" borderId="88" applyAlignment="1" pivotButton="0" quotePrefix="0" xfId="0">
      <alignment horizontal="left" wrapText="1"/>
    </xf>
    <xf numFmtId="0" fontId="27" fillId="3" borderId="88" applyAlignment="1" pivotButton="0" quotePrefix="0" xfId="0">
      <alignment wrapText="1"/>
    </xf>
    <xf numFmtId="0" fontId="28" fillId="0" borderId="0" pivotButton="0" quotePrefix="0" xfId="0"/>
    <xf numFmtId="0" fontId="9" fillId="5" borderId="26" applyAlignment="1" pivotButton="0" quotePrefix="0" xfId="0">
      <alignment horizontal="center" vertical="top"/>
    </xf>
    <xf numFmtId="0" fontId="27" fillId="0" borderId="88" applyAlignment="1" pivotButton="0" quotePrefix="0" xfId="0">
      <alignment horizontal="left" wrapText="1"/>
    </xf>
    <xf numFmtId="0" fontId="27" fillId="0" borderId="0" applyAlignment="1" pivotButton="0" quotePrefix="0" xfId="0">
      <alignment wrapText="1"/>
    </xf>
    <xf numFmtId="0" fontId="9" fillId="22" borderId="26" applyAlignment="1" pivotButton="0" quotePrefix="0" xfId="0">
      <alignment horizontal="center" vertical="top"/>
    </xf>
    <xf numFmtId="0" fontId="9" fillId="15" borderId="26" applyAlignment="1" pivotButton="0" quotePrefix="0" xfId="0">
      <alignment horizontal="center" vertical="top"/>
    </xf>
    <xf numFmtId="0" fontId="9" fillId="23" borderId="26" applyAlignment="1" pivotButton="0" quotePrefix="0" xfId="0">
      <alignment horizontal="center" vertical="top"/>
    </xf>
    <xf numFmtId="0" fontId="0" fillId="0" borderId="0" pivotButton="0" quotePrefix="0" xfId="0"/>
    <xf numFmtId="0" fontId="9" fillId="9" borderId="89" applyAlignment="1" pivotButton="0" quotePrefix="0" xfId="0">
      <alignment horizontal="center" vertical="top"/>
    </xf>
    <xf numFmtId="0" fontId="0" fillId="0" borderId="30" pivotButton="0" quotePrefix="0" xfId="0"/>
    <xf numFmtId="0" fontId="0" fillId="0" borderId="34" pivotButton="0" quotePrefix="0" xfId="0"/>
    <xf numFmtId="0" fontId="9" fillId="12" borderId="89" applyAlignment="1" pivotButton="0" quotePrefix="0" xfId="0">
      <alignment horizontal="center" vertical="top"/>
    </xf>
    <xf numFmtId="0" fontId="9" fillId="5" borderId="89" applyAlignment="1" pivotButton="0" quotePrefix="0" xfId="0">
      <alignment horizontal="center" vertical="top"/>
    </xf>
    <xf numFmtId="0" fontId="9" fillId="22" borderId="89" applyAlignment="1" pivotButton="0" quotePrefix="0" xfId="0">
      <alignment horizontal="center" vertical="top"/>
    </xf>
    <xf numFmtId="0" fontId="9" fillId="15" borderId="89" applyAlignment="1" pivotButton="0" quotePrefix="0" xfId="0">
      <alignment horizontal="center" vertical="top"/>
    </xf>
    <xf numFmtId="0" fontId="9" fillId="23" borderId="89" applyAlignment="1" pivotButton="0" quotePrefix="0" xfId="0">
      <alignment horizontal="center" vertical="top"/>
    </xf>
    <xf numFmtId="0" fontId="29" fillId="24"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B16" authorId="0" shapeId="0">
      <text>
        <t>======
ID#AAAB1QTGcMo
Andrew Line    (2026-03-02 19:36:10)
Megan's zoom, she has 65% (not 70%), and she said this is very standard</t>
      </text>
    </comment>
    <comment ref="B36" authorId="0" shapeId="0">
      <text>
        <t>======
ID#AAAB1QTGcMI
Andrew Line    (2026-03-02 19:14:32)
Megan zoom: https://coachingzone.zoom.us/rec/play/lQNcQxmMn5WFPEyaILK1_ihyUQdvRD3OFcgzfMdblUh5VQkYOae7cwJ3SUSCT2q7WjM-e_FLuGxGi3no.tq71cu4uuRuqGF-M?eagerLoadZvaPages=&amp;accessLevel=meeting&amp;canPlayFromShare=true&amp;from=share_recording_detail&amp;continueMode=true&amp;componentName=rec-play&amp;originRequestUrl=https%3A%2F%2Fcoachingzone.zoom.us%2Frec%2Fshare%2FjU7_HLAY3bDuRzDX6yYGnpbCExpRdiglTM06zY1ilJtlnNqKRX5CLo62h2LK6BBe.kx-Tkq2ClodYFfsc
Passcode: Hg!V1*Nx</t>
      </text>
    </comment>
    <comment ref="C37" authorId="0" shapeId="0">
      <text>
        <t>======
ID#AAAB1QTGcL4
Andrew Line    (2026-03-02 19:10:01)
The initial coaching session, so this is between the coach and coachee, for them to introduce themselves to each other. We are typically doing a chemistry meeting prior, where a coach is selected. We'll talk about that later if you're interested. Our standard approach for Ignite is to have four stakeholder meetings.
- Megan</t>
      </text>
    </comment>
    <comment ref="E37" authorId="0" shapeId="0">
      <text>
        <t>======
ID#AAAB1QTGcMc
Andrew Line    (2026-03-02 19:29:48)
I have my project management, and then I also have here my assessment. So, an Ignite Executive Coaching Engagement, and you'll see this on…
Here, in our standardized deck.
We have here it's 7 to 9 months.
So what I'm going to do is we have a coaching zone fee.
- Megan</t>
      </text>
    </comment>
    <comment ref="F37" authorId="0" shapeId="0">
      <text>
        <t>======
ID#AAAB1QTGcMU
Andrew Line    (2026-03-02 19:27:51)
per Megan zoom, this is now $75 (not $50)</t>
      </text>
    </comment>
    <comment ref="C38" authorId="0" shapeId="0">
      <text>
        <t>======
ID#AAAB1QTGcLw
Andrew Line    (2026-03-02 19:09:07)
(1 of 4 stakeholder mtgs) - Typically, these 4 are about 1 hour long. Could drop the time down,
to 1/2 hour if needed. That's about as… that's as low as I would go, for these stakeholder meetings.
- Megan</t>
      </text>
    </comment>
    <comment ref="C39" authorId="0" shapeId="0">
      <text>
        <t>======
ID#AAAB1QTGcL0
Andrew Line    (2026-03-02 19:09:36)
The developmental history interview, this is the… the coach and the coaching meeting to really understand the coaching's background, aspirations.
where they want to go in their career. Max, typically, that's 2 hours. I might drop this down to 90 minutes. I try not to go lower than 90 minutes. 
- Megan</t>
      </text>
    </comment>
    <comment ref="C40" authorId="0" shapeId="0">
      <text>
        <t>======
ID#AAAB1QTGcMM
Andrew Line    (2026-03-02 19:17:18)
This is the interview-based 360. This is up to… our standard approach is up to 8 interviews at 45 minutes each, so 45 times minutes times 8 equals 6 hours.
This might be a place where I'd cut this down.
So let's say I needed to drop the price a little bit,
this… I can move this down to, let's say, 6. I'm not gonna go, though, lower than 5, typically, here, so let's say I'm gonna do 6 interviews.
What I do here, then, is equals… 45 minutes.
Times 6.
Divided by 60.
And I'm gonna change that to 4.5.
Standard here.
It's going to be up to 8.
And again, I can do here the math, 45 minutes times 8 divided by 60. There we go 6.
- Megan</t>
      </text>
    </comment>
    <comment ref="D40" authorId="0" shapeId="0">
      <text>
        <t>======
ID#AAAB1R2B7pU
Andrew Line    (2026-03-02 20:20:31)
The Hogan Insight is actually 3 assessments from Hogan.
HPI, HDS, and MBPI, which you're going to see reflected here.
- Megan</t>
      </text>
    </comment>
    <comment ref="E40" authorId="0" shapeId="0">
      <text>
        <t>======
ID#AAAB1QTGcMg
Andrew Line    (2026-03-02 19:31:33)
because 9's the longest it will typically go, I'm going to do 9 times 75. And then here are assessments I can pick. Typically, what I'm going to do is in Hogan Insight and LD12.
- Megan</t>
      </text>
    </comment>
    <comment ref="C41" authorId="0" shapeId="0">
      <text>
        <t>======
ID#AAAB1QTGcMQ
Andrew Line    (2026-03-02 19:20:44)
Assessment feedback session is typically 2 hours. I try not to cut down. The lowest I would go is 90 minutes.
- Megan</t>
      </text>
    </comment>
    <comment ref="C42" authorId="0" shapeId="0">
      <text>
        <t>======
ID#AAAB1QTGcL8
Andrew Line    (2026-03-02 19:11:34)
(2 of 4 stakeholder mtgs) - Typically, these 4 are about 1 hour long. Could drop the time down,
to 1/2 hour if needed. That's about as… that's as low as I would go, for these stakeholder meetings.
Development planning sessions, typically 1 hour. In severe cases, I might remove this, but I tend to always keep it.
- Megan</t>
      </text>
    </comment>
    <comment ref="C43" authorId="0" shapeId="0">
      <text>
        <t>======
ID#AAAB1QTGcMA
Andrew Line    (2026-03-02 19:12:09)
(3 of 4 stakeholder mtgs) - Typically, these 4 are about 1 hour long. Could drop the time down,
to 1/2 hour if needed. That's about as… that's as low as I would go, for these stakeholder meetings.
- Megan</t>
      </text>
    </comment>
    <comment ref="C46" authorId="0" shapeId="0">
      <text>
        <t>======
ID#AAAB1QTGcME
Andrew Line    (2026-03-02 19:12:16)
(4 of 4 stakeholder mtgs) - Typically, these 4 are about 1 hour long. Could drop the time down,
to 1/2 hour if needed. That's about as… that's as low as I would go, for these stakeholder meetings.
- Megan</t>
      </text>
    </comment>
    <comment ref="C47" authorId="0" shapeId="0">
      <text>
        <t>======
ID#AAAB1QTGcMY
Andrew Line    (2026-03-02 19:29:12)
So here you're looking at 23.5 hours of coaching, and that's very, very, very standard for a 9 executive coaching engagement. I've got my total cost here
-Megan</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Z115"/>
  <sheetViews>
    <sheetView workbookViewId="0">
      <selection activeCell="A1" sqref="A1"/>
    </sheetView>
  </sheetViews>
  <sheetFormatPr baseColWidth="8" defaultColWidth="12.63" defaultRowHeight="15" customHeight="1"/>
  <cols>
    <col width="13.88" customWidth="1" style="345" min="1" max="1"/>
    <col width="43.13" customWidth="1" style="345" min="2" max="2"/>
    <col width="14.13" customWidth="1" style="345" min="3" max="3"/>
    <col hidden="1" width="18.13" customWidth="1" style="345" min="4" max="4"/>
    <col width="8.880000000000001" customWidth="1" style="345" min="5" max="5"/>
    <col width="21.38" customWidth="1" style="345" min="6" max="6"/>
    <col width="11.63" customWidth="1" style="345" min="7" max="7"/>
    <col width="13.13" customWidth="1" style="345" min="8" max="8"/>
    <col width="11.5" customWidth="1" style="345" min="9" max="9"/>
    <col width="18.88" customWidth="1" style="345" min="10" max="10"/>
    <col width="35.88" customWidth="1" style="345" min="11" max="11"/>
    <col width="9.5" customWidth="1" style="345" min="12" max="12"/>
    <col width="8.880000000000001" customWidth="1" style="345" min="13" max="13"/>
    <col width="7.75" customWidth="1" style="345" min="14" max="26"/>
  </cols>
  <sheetData>
    <row r="1" ht="15.75" customHeight="1" s="345">
      <c r="A1" s="1" t="inlineStr">
        <is>
          <t>Cost and Pricing Calculator</t>
        </is>
      </c>
    </row>
    <row r="2" ht="15.75" customHeight="1" s="345">
      <c r="B2" s="2" t="inlineStr">
        <is>
          <t>Set Desired Margin:</t>
        </is>
      </c>
      <c r="C2" s="3" t="n">
        <v>0.65</v>
      </c>
    </row>
    <row r="3" ht="15.75" customHeight="1" s="345"/>
    <row r="4" ht="15.75" customHeight="1" s="345">
      <c r="B4" s="4" t="inlineStr">
        <is>
          <t xml:space="preserve">TOTAL ENGAGEMENT COSTS AND PRICE </t>
        </is>
      </c>
      <c r="C4" s="4" t="n"/>
      <c r="D4" s="4" t="n"/>
      <c r="F4" s="5" t="n"/>
      <c r="G4" s="5" t="n"/>
      <c r="H4" s="6" t="n"/>
      <c r="I4" s="6" t="n"/>
      <c r="J4" s="6" t="n"/>
    </row>
    <row r="5" ht="15.75" customHeight="1" s="345">
      <c r="B5" s="7" t="inlineStr">
        <is>
          <t>Phase</t>
        </is>
      </c>
      <c r="C5" s="8" t="inlineStr">
        <is>
          <t>Cost</t>
        </is>
      </c>
      <c r="D5" s="9" t="inlineStr">
        <is>
          <t>Price</t>
        </is>
      </c>
      <c r="F5" s="10" t="inlineStr">
        <is>
          <t>Per Head Pricing</t>
        </is>
      </c>
      <c r="G5" s="11" t="n"/>
      <c r="H5" s="12" t="n"/>
      <c r="I5" s="12" t="n"/>
      <c r="J5" s="13" t="n"/>
    </row>
    <row r="6" ht="15.75" customHeight="1" s="345">
      <c r="B6" s="14" t="inlineStr">
        <is>
          <t>DESIGN</t>
        </is>
      </c>
      <c r="C6" s="15">
        <f>H20</f>
        <v/>
      </c>
      <c r="D6" s="16">
        <f>J20</f>
        <v/>
      </c>
      <c r="F6" s="17" t="inlineStr">
        <is>
          <t># of Participants/Cohort:</t>
        </is>
      </c>
      <c r="G6" s="18" t="n">
        <v>20</v>
      </c>
      <c r="H6" s="19" t="n"/>
      <c r="I6" s="20" t="n"/>
      <c r="J6" s="21" t="n"/>
    </row>
    <row r="7" ht="15.75" customHeight="1" s="345">
      <c r="B7" s="14" t="inlineStr">
        <is>
          <t>DEVELOPMENT</t>
        </is>
      </c>
      <c r="C7" s="15">
        <f>H38</f>
        <v/>
      </c>
      <c r="D7" s="16">
        <f>J38</f>
        <v/>
      </c>
      <c r="F7" s="22" t="inlineStr">
        <is>
          <t>Cost per Head - CH1:</t>
        </is>
      </c>
      <c r="G7" s="23">
        <f>D9/G6</f>
        <v/>
      </c>
      <c r="H7" s="19" t="inlineStr">
        <is>
          <t>Reflects all design, development and delivery client costs</t>
        </is>
      </c>
      <c r="I7" s="20" t="n"/>
      <c r="J7" s="21" t="n"/>
    </row>
    <row r="8" ht="15.75" customHeight="1" s="345">
      <c r="B8" s="24" t="inlineStr">
        <is>
          <t>DELIVERY</t>
        </is>
      </c>
      <c r="C8" s="25">
        <f>H106</f>
        <v/>
      </c>
      <c r="D8" s="26">
        <f>J106</f>
        <v/>
      </c>
      <c r="F8" s="27" t="inlineStr">
        <is>
          <t>Cost per Head - CH2:</t>
        </is>
      </c>
      <c r="G8" s="28">
        <f>D8/G6</f>
        <v/>
      </c>
      <c r="H8" s="29" t="inlineStr">
        <is>
          <t>Reflects only delivery client costs</t>
        </is>
      </c>
      <c r="I8" s="30" t="n"/>
      <c r="J8" s="31" t="n"/>
    </row>
    <row r="9" ht="15.75" customHeight="1" s="345">
      <c r="B9" s="32" t="inlineStr">
        <is>
          <t>Totals:</t>
        </is>
      </c>
      <c r="C9" s="33">
        <f>SUM(C6:C8)</f>
        <v/>
      </c>
      <c r="D9" s="34">
        <f>SUM(D6:D8)</f>
        <v/>
      </c>
    </row>
    <row r="10" ht="15.75" customHeight="1" s="345"/>
    <row r="11" ht="15.75" customHeight="1" s="345">
      <c r="A11" s="35" t="n"/>
      <c r="B11" s="36" t="inlineStr">
        <is>
          <t>ITEM</t>
        </is>
      </c>
      <c r="C11" s="37" t="inlineStr">
        <is>
          <t>ITEM COST</t>
        </is>
      </c>
      <c r="D11" s="38" t="inlineStr">
        <is>
          <t>NOTE</t>
        </is>
      </c>
      <c r="E11" s="38" t="inlineStr">
        <is>
          <t>QUANTITY</t>
        </is>
      </c>
      <c r="F11" s="37" t="inlineStr">
        <is>
          <t>COST</t>
        </is>
      </c>
      <c r="G11" s="37" t="inlineStr">
        <is>
          <t>PM FEE (12%)</t>
        </is>
      </c>
      <c r="H11" s="37" t="inlineStr">
        <is>
          <t>COST W PM</t>
        </is>
      </c>
      <c r="I11" s="39" t="inlineStr">
        <is>
          <t>MARGIN</t>
        </is>
      </c>
      <c r="J11" s="37" t="inlineStr">
        <is>
          <t>CLIENT PRICE</t>
        </is>
      </c>
    </row>
    <row r="12" ht="15.75" customHeight="1" s="345">
      <c r="A12" s="346" t="inlineStr">
        <is>
          <t>Design</t>
        </is>
      </c>
      <c r="B12" s="41" t="inlineStr">
        <is>
          <t>Learning Design Sprint (Design Document)</t>
        </is>
      </c>
      <c r="C12" s="42" t="n">
        <v>6000</v>
      </c>
      <c r="D12" s="43" t="inlineStr">
        <is>
          <t>Flat fee</t>
        </is>
      </c>
      <c r="E12" s="44" t="n"/>
      <c r="F12" s="42">
        <f>IF(ISNUMBER(E12), E12*C12, "")</f>
        <v/>
      </c>
      <c r="G12" s="42">
        <f>IF(OR(ISBLANK(F12), NOT(ISNUMBER(F12))), "", F12 * 0.12)</f>
        <v/>
      </c>
      <c r="H12" s="42">
        <f>IF(OR(ISBLANK(G12), NOT(ISNUMBER(G12))), "", F12+G12)</f>
        <v/>
      </c>
      <c r="I12" s="45">
        <f>$C$2</f>
        <v/>
      </c>
      <c r="J12" s="46">
        <f>IF(AND(ISNUMBER(H12), I12&lt;1), H12/(1-I12), "")</f>
        <v/>
      </c>
      <c r="K12" s="47" t="inlineStr">
        <is>
          <t>Changed client price from $10K to 6500</t>
        </is>
      </c>
      <c r="L12" s="48" t="n"/>
      <c r="M12" s="49" t="n"/>
    </row>
    <row r="13" ht="15.75" customHeight="1" s="345">
      <c r="A13" s="347" t="n"/>
      <c r="B13" s="51" t="inlineStr">
        <is>
          <t>F2F Hackathon - 1 Day</t>
        </is>
      </c>
      <c r="C13" s="52" t="n">
        <v>1500</v>
      </c>
      <c r="D13" s="53" t="inlineStr">
        <is>
          <t>Flat fee</t>
        </is>
      </c>
      <c r="E13" s="54" t="n"/>
      <c r="F13" s="52">
        <f>IF(ISNUMBER(E13), E13*C13, "")</f>
        <v/>
      </c>
      <c r="G13" s="52">
        <f>IF(OR(ISBLANK(F13), NOT(ISNUMBER(F13))), "", F13 * 0.12)</f>
        <v/>
      </c>
      <c r="H13" s="52">
        <f>IF(OR(ISBLANK(G13), NOT(ISNUMBER(G13))), "", F13+G13)</f>
        <v/>
      </c>
      <c r="I13" s="55">
        <f>$C$2</f>
        <v/>
      </c>
      <c r="J13" s="56">
        <f>IF(AND(ISNUMBER(H13), I13&lt;1), H13/(1-I13), "")</f>
        <v/>
      </c>
      <c r="K13" s="57" t="inlineStr">
        <is>
          <t>Change to Design Lab, and a per day costing (not multiple items)</t>
        </is>
      </c>
      <c r="L13" s="48" t="n"/>
      <c r="M13" s="49" t="n"/>
    </row>
    <row r="14" ht="15.75" customHeight="1" s="345">
      <c r="A14" s="347" t="n"/>
      <c r="B14" s="51" t="inlineStr">
        <is>
          <t>F2F Hackathon - 2 Day</t>
        </is>
      </c>
      <c r="C14" s="52" t="n">
        <v>3000</v>
      </c>
      <c r="D14" s="53" t="inlineStr">
        <is>
          <t xml:space="preserve">Flat fee </t>
        </is>
      </c>
      <c r="E14" s="54" t="n"/>
      <c r="F14" s="52">
        <f>IF(ISNUMBER(E14), E14*C14, "")</f>
        <v/>
      </c>
      <c r="G14" s="52">
        <f>IF(OR(ISBLANK(F14), NOT(ISNUMBER(F14))), "", F14 * 0.12)</f>
        <v/>
      </c>
      <c r="H14" s="52">
        <f>IF(OR(ISBLANK(G14), NOT(ISNUMBER(G14))), "", F14+G14)</f>
        <v/>
      </c>
      <c r="I14" s="55">
        <f>$C$2</f>
        <v/>
      </c>
      <c r="J14" s="56">
        <f>IF(AND(ISNUMBER(H14), I14&lt;1), H14/(1-I14), "")</f>
        <v/>
      </c>
      <c r="L14" s="48" t="n"/>
      <c r="M14" s="49" t="n"/>
    </row>
    <row r="15" ht="15.75" customHeight="1" s="345">
      <c r="A15" s="347" t="n"/>
      <c r="B15" s="51" t="inlineStr">
        <is>
          <t xml:space="preserve">F2F Hackathon - 3 Day </t>
        </is>
      </c>
      <c r="C15" s="52" t="n">
        <v>4500</v>
      </c>
      <c r="D15" s="53" t="inlineStr">
        <is>
          <t>Flat fee</t>
        </is>
      </c>
      <c r="E15" s="54" t="n"/>
      <c r="F15" s="52">
        <f>IF(ISNUMBER(E15), E15*C15, "")</f>
        <v/>
      </c>
      <c r="G15" s="52">
        <f>IF(OR(ISBLANK(F15), NOT(ISNUMBER(F15))), "", F15 * 0.12)</f>
        <v/>
      </c>
      <c r="H15" s="52">
        <f>IF(OR(ISBLANK(G15), NOT(ISNUMBER(G15))), "", F15+G15)</f>
        <v/>
      </c>
      <c r="I15" s="55">
        <f>$C$2</f>
        <v/>
      </c>
      <c r="J15" s="56">
        <f>IF(AND(ISNUMBER(H15), I15&lt;1), H15/(1-I15), "")</f>
        <v/>
      </c>
      <c r="L15" s="48" t="n"/>
      <c r="M15" s="49" t="n"/>
    </row>
    <row r="16" ht="15.75" customHeight="1" s="345">
      <c r="A16" s="347" t="n"/>
      <c r="B16" s="51" t="inlineStr">
        <is>
          <t>F2F Hackathon - 4 Day</t>
        </is>
      </c>
      <c r="C16" s="52" t="n">
        <v>6000</v>
      </c>
      <c r="D16" s="53" t="inlineStr">
        <is>
          <t>Flat fee</t>
        </is>
      </c>
      <c r="E16" s="54" t="n"/>
      <c r="F16" s="52">
        <f>IF(ISNUMBER(E16), E16*C16, "")</f>
        <v/>
      </c>
      <c r="G16" s="52">
        <f>IF(OR(ISBLANK(F16), NOT(ISNUMBER(F16))), "", F16 * 0.12)</f>
        <v/>
      </c>
      <c r="H16" s="52">
        <f>IF(OR(ISBLANK(G16), NOT(ISNUMBER(G16))), "", F16+G16)</f>
        <v/>
      </c>
      <c r="I16" s="55">
        <f>$C$2</f>
        <v/>
      </c>
      <c r="J16" s="56">
        <f>IF(AND(ISNUMBER(H16), I16&lt;1), H16/(1-I16), "")</f>
        <v/>
      </c>
      <c r="L16" s="48" t="n"/>
      <c r="M16" s="49" t="n"/>
    </row>
    <row r="17" ht="15.75" customHeight="1" s="345">
      <c r="A17" s="347" t="n"/>
      <c r="B17" s="51" t="inlineStr">
        <is>
          <t xml:space="preserve">F2F Hackathon - 5 Day </t>
        </is>
      </c>
      <c r="C17" s="52" t="n">
        <v>7500</v>
      </c>
      <c r="D17" s="53" t="inlineStr">
        <is>
          <t>Flat fee</t>
        </is>
      </c>
      <c r="E17" s="54" t="n"/>
      <c r="F17" s="52">
        <f>IF(ISNUMBER(E17), E17*C17, "")</f>
        <v/>
      </c>
      <c r="G17" s="52">
        <f>IF(OR(ISBLANK(F17), NOT(ISNUMBER(F17))), "", F17 * 0.12)</f>
        <v/>
      </c>
      <c r="H17" s="52">
        <f>IF(OR(ISBLANK(G17), NOT(ISNUMBER(G17))), "", F17+G17)</f>
        <v/>
      </c>
      <c r="I17" s="55">
        <f>$C$2</f>
        <v/>
      </c>
      <c r="J17" s="56">
        <f>IF(AND(ISNUMBER(H17), I17&lt;1), H17/(1-I17), "")</f>
        <v/>
      </c>
      <c r="L17" s="48" t="n"/>
      <c r="M17" s="49" t="n"/>
    </row>
    <row r="18" ht="15.75" customHeight="1" s="345">
      <c r="A18" s="347" t="n"/>
      <c r="B18" s="51" t="inlineStr">
        <is>
          <t>Virtual Hackathon - 4hr</t>
        </is>
      </c>
      <c r="C18" s="52" t="n">
        <v>750</v>
      </c>
      <c r="D18" s="53" t="inlineStr">
        <is>
          <t>Flat fee</t>
        </is>
      </c>
      <c r="E18" s="54" t="n"/>
      <c r="F18" s="52">
        <f>IF(ISNUMBER(E18), E18*C18, "")</f>
        <v/>
      </c>
      <c r="G18" s="52">
        <f>IF(OR(ISBLANK(F18), NOT(ISNUMBER(F18))), "", F18 * 0.12)</f>
        <v/>
      </c>
      <c r="H18" s="52">
        <f>IF(OR(ISBLANK(G18), NOT(ISNUMBER(G18))), "", F18+G18)</f>
        <v/>
      </c>
      <c r="I18" s="55">
        <f>$C$2</f>
        <v/>
      </c>
      <c r="J18" s="56">
        <f>IF(AND(ISNUMBER(H18), I18&lt;1), H18/(1-I18), "")</f>
        <v/>
      </c>
      <c r="L18" s="48" t="n"/>
      <c r="M18" s="49" t="n"/>
    </row>
    <row r="19" ht="15.75" customHeight="1" s="345">
      <c r="A19" s="347" t="n"/>
      <c r="B19" s="58" t="inlineStr">
        <is>
          <t>Virtual Hackathon - 8hr</t>
        </is>
      </c>
      <c r="C19" s="59" t="n">
        <v>1500</v>
      </c>
      <c r="D19" s="60" t="inlineStr">
        <is>
          <t>Flat fee</t>
        </is>
      </c>
      <c r="E19" s="61" t="n"/>
      <c r="F19" s="59">
        <f>IF(ISNUMBER(E19), E19*C19, "")</f>
        <v/>
      </c>
      <c r="G19" s="59">
        <f>IF(OR(ISBLANK(F19), NOT(ISNUMBER(F19))), "", F19 * 0.12)</f>
        <v/>
      </c>
      <c r="H19" s="59">
        <f>IF(OR(ISBLANK(G19), NOT(ISNUMBER(G19))), "", F19+G19)</f>
        <v/>
      </c>
      <c r="I19" s="62">
        <f>$C$2</f>
        <v/>
      </c>
      <c r="J19" s="63">
        <f>IF(AND(ISNUMBER(H19), I19&lt;1), H19/(1-I19), "")</f>
        <v/>
      </c>
      <c r="L19" s="48" t="n"/>
      <c r="M19" s="49" t="n"/>
    </row>
    <row r="20" ht="15.75" customHeight="1" s="345">
      <c r="A20" s="348" t="n"/>
      <c r="B20" s="65" t="inlineStr">
        <is>
          <t>DESIGN TOTAL:</t>
        </is>
      </c>
      <c r="C20" s="66" t="n"/>
      <c r="D20" s="67" t="n"/>
      <c r="E20" s="67" t="n"/>
      <c r="F20" s="68">
        <f>SUM(F12:F19)</f>
        <v/>
      </c>
      <c r="G20" s="68">
        <f>SUM(G12:G19)</f>
        <v/>
      </c>
      <c r="H20" s="68">
        <f>SUM(H12:H19)</f>
        <v/>
      </c>
      <c r="I20" s="69" t="n"/>
      <c r="J20" s="70">
        <f>SUM(J12:J19)</f>
        <v/>
      </c>
      <c r="K20" s="47" t="n"/>
      <c r="L20" s="48" t="n"/>
      <c r="M20" s="49" t="n"/>
    </row>
    <row r="21" ht="15.75" customHeight="1" s="345">
      <c r="A21" s="71" t="n"/>
      <c r="B21" s="54" t="n"/>
      <c r="C21" s="72" t="n"/>
      <c r="D21" s="54" t="n"/>
      <c r="E21" s="54" t="n"/>
      <c r="F21" s="72" t="n"/>
      <c r="G21" s="72" t="n"/>
      <c r="H21" s="72" t="n"/>
      <c r="I21" s="73" t="n"/>
      <c r="J21" s="72" t="n"/>
      <c r="K21" s="74" t="n"/>
      <c r="L21" s="72" t="n"/>
      <c r="M21" s="72" t="n"/>
      <c r="N21" s="6" t="n"/>
      <c r="O21" s="6" t="n"/>
      <c r="P21" s="6" t="n"/>
      <c r="Q21" s="6" t="n"/>
      <c r="R21" s="6" t="n"/>
      <c r="S21" s="6" t="n"/>
      <c r="T21" s="6" t="n"/>
      <c r="U21" s="6" t="n"/>
      <c r="V21" s="6" t="n"/>
      <c r="W21" s="6" t="n"/>
      <c r="X21" s="6" t="n"/>
      <c r="Y21" s="6" t="n"/>
      <c r="Z21" s="6" t="n"/>
    </row>
    <row r="22" ht="15.75" customHeight="1" s="345">
      <c r="A22" s="35" t="n"/>
      <c r="B22" s="36" t="inlineStr">
        <is>
          <t>ITEM</t>
        </is>
      </c>
      <c r="C22" s="37" t="inlineStr">
        <is>
          <t>ITEM COST</t>
        </is>
      </c>
      <c r="D22" s="38" t="inlineStr">
        <is>
          <t>NOTE</t>
        </is>
      </c>
      <c r="E22" s="38" t="inlineStr">
        <is>
          <t>QUANTITY</t>
        </is>
      </c>
      <c r="F22" s="37" t="inlineStr">
        <is>
          <t>COST</t>
        </is>
      </c>
      <c r="G22" s="37" t="inlineStr">
        <is>
          <t>PM FEE (12%)</t>
        </is>
      </c>
      <c r="H22" s="37" t="inlineStr">
        <is>
          <t>COST W PM</t>
        </is>
      </c>
      <c r="I22" s="39" t="inlineStr">
        <is>
          <t>MARGIN</t>
        </is>
      </c>
      <c r="J22" s="37" t="inlineStr">
        <is>
          <t>CLIENT PRICE</t>
        </is>
      </c>
      <c r="K22" s="57" t="inlineStr">
        <is>
          <t xml:space="preserve">Simplify - development of up to 2 hrs of virtual content, F2F content, etc. Combine similar things. </t>
        </is>
      </c>
      <c r="L22" s="48" t="n"/>
      <c r="M22" s="49" t="n"/>
    </row>
    <row r="23" ht="15.75" customHeight="1" s="345">
      <c r="A23" s="75" t="inlineStr">
        <is>
          <t>Development</t>
        </is>
      </c>
      <c r="B23" s="76" t="inlineStr">
        <is>
          <t>Pre-Program Capstone</t>
        </is>
      </c>
      <c r="C23" s="48">
        <f>M23</f>
        <v/>
      </c>
      <c r="D23" s="76" t="inlineStr">
        <is>
          <t>Flat fee (design only)</t>
        </is>
      </c>
      <c r="E23" s="77" t="n"/>
      <c r="F23" s="48">
        <f>IF(ISNUMBER(E23), E23*C23, "")</f>
        <v/>
      </c>
      <c r="G23" s="48">
        <f>IF(OR(ISBLANK(F23), NOT(ISNUMBER(F23))), "", F23 * 0.12)</f>
        <v/>
      </c>
      <c r="H23" s="48">
        <f>IF(OR(ISBLANK(G23), NOT(ISNUMBER(G23))), "", F23+G23)</f>
        <v/>
      </c>
      <c r="I23" s="78">
        <f>$C$2</f>
        <v/>
      </c>
      <c r="J23" s="48">
        <f>IF(AND(ISNUMBER(H23), I23&lt;1), H23/(1-I23), "")</f>
        <v/>
      </c>
      <c r="K23" s="57" t="inlineStr">
        <is>
          <t>Eliminate</t>
        </is>
      </c>
      <c r="L23" s="79" t="n">
        <v>6500</v>
      </c>
      <c r="M23" s="49">
        <f>L23*0.3</f>
        <v/>
      </c>
    </row>
    <row r="24" ht="15.75" customHeight="1" s="345">
      <c r="A24" s="80" t="n"/>
      <c r="B24" s="81" t="inlineStr">
        <is>
          <t>Post-Program Capstone</t>
        </is>
      </c>
      <c r="C24" s="82" t="n">
        <v>1950</v>
      </c>
      <c r="D24" s="83" t="inlineStr">
        <is>
          <t>Flat fee (design only)</t>
        </is>
      </c>
      <c r="E24" s="77" t="n"/>
      <c r="F24" s="82">
        <f>IF(ISNUMBER(E24), E24*C24, "")</f>
        <v/>
      </c>
      <c r="G24" s="82">
        <f>IF(OR(ISBLANK(F24), NOT(ISNUMBER(F24))), "", F24 * 0.12)</f>
        <v/>
      </c>
      <c r="H24" s="82">
        <f>IF(OR(ISBLANK(G24), NOT(ISNUMBER(G24))), "", F24+G24)</f>
        <v/>
      </c>
      <c r="I24" s="84">
        <f>$C$2</f>
        <v/>
      </c>
      <c r="J24" s="85">
        <f>IF(AND(ISNUMBER(H24), I24&lt;1), H24/(1-I24), "")</f>
        <v/>
      </c>
      <c r="K24" s="57" t="inlineStr">
        <is>
          <t>Change to Capstone Session. Not part of a Business impact project, just a program capstone.</t>
        </is>
      </c>
      <c r="L24" s="79" t="n"/>
      <c r="M24" s="49" t="n"/>
    </row>
    <row r="25" ht="15.75" customHeight="1" s="345">
      <c r="A25" s="80" t="n"/>
      <c r="B25" s="86" t="inlineStr">
        <is>
          <t>Immersive Learning Offsite (1-day F2F)</t>
        </is>
      </c>
      <c r="C25" s="79" t="n">
        <v>5500</v>
      </c>
      <c r="D25" s="87" t="inlineStr">
        <is>
          <t>Per day (design only)</t>
        </is>
      </c>
      <c r="E25" s="77" t="n"/>
      <c r="F25" s="79">
        <f>IF(ISNUMBER(E25), E25*C25, "")</f>
        <v/>
      </c>
      <c r="G25" s="79">
        <f>IF(OR(ISBLANK(F25), NOT(ISNUMBER(F25))), "", F25 * 0.12)</f>
        <v/>
      </c>
      <c r="H25" s="79">
        <f>IF(OR(ISBLANK(G25), NOT(ISNUMBER(G25))), "", F25+G25)</f>
        <v/>
      </c>
      <c r="I25" s="88">
        <f>$C$2</f>
        <v/>
      </c>
      <c r="J25" s="15">
        <f>IF(AND(ISNUMBER(H25), I25&lt;1), H25/(1-I25), "")</f>
        <v/>
      </c>
      <c r="K25" s="57" t="inlineStr">
        <is>
          <t>Needs to revise down. Call out Per Day..</t>
        </is>
      </c>
      <c r="L25" s="79" t="n">
        <v>6500</v>
      </c>
      <c r="M25" s="49">
        <f>L25*0.3</f>
        <v/>
      </c>
    </row>
    <row r="26" ht="15.75" customHeight="1" s="345">
      <c r="A26" s="80" t="n"/>
      <c r="B26" s="86" t="inlineStr">
        <is>
          <t>2-hour Tailored Learning Experience/Session (Learning Circle, Action Learning, AppEx)</t>
        </is>
      </c>
      <c r="C26" s="79">
        <f>M26</f>
        <v/>
      </c>
      <c r="D26" s="87" t="inlineStr">
        <is>
          <t>Flat fee (design only)</t>
        </is>
      </c>
      <c r="E26" s="77" t="n"/>
      <c r="F26" s="79">
        <f>IF(ISNUMBER(E26), E26*C26, "")</f>
        <v/>
      </c>
      <c r="G26" s="79">
        <f>IF(OR(ISBLANK(F26), NOT(ISNUMBER(F26))), "", F26 * 0.12)</f>
        <v/>
      </c>
      <c r="H26" s="79">
        <f>IF(OR(ISBLANK(G26), NOT(ISNUMBER(G26))), "", F26+G26)</f>
        <v/>
      </c>
      <c r="I26" s="88">
        <f>$C$2</f>
        <v/>
      </c>
      <c r="J26" s="15">
        <f>IF(AND(ISNUMBER(H26), I26&lt;1), H26/(1-I26), "")</f>
        <v/>
      </c>
      <c r="L26" s="79" t="n">
        <v>6500</v>
      </c>
      <c r="M26" s="49">
        <f>L26*0.3</f>
        <v/>
      </c>
    </row>
    <row r="27" ht="15.75" customHeight="1" s="345">
      <c r="A27" s="80" t="n"/>
      <c r="B27" s="89" t="inlineStr">
        <is>
          <t>2-hour Customized Learning Experience/Session (Learning Circle, Action Learning, AppEx)</t>
        </is>
      </c>
      <c r="C27" s="90" t="n">
        <v>2300</v>
      </c>
      <c r="D27" s="91" t="inlineStr">
        <is>
          <t>Flat fee (design only)</t>
        </is>
      </c>
      <c r="E27" s="77" t="n"/>
      <c r="F27" s="79">
        <f>IF(ISNUMBER(E27), E27*C27, "")</f>
        <v/>
      </c>
      <c r="G27" s="79">
        <f>IF(OR(ISBLANK(F27), NOT(ISNUMBER(F27))), "", F27 * 0.12)</f>
        <v/>
      </c>
      <c r="H27" s="79">
        <f>IF(OR(ISBLANK(G27), NOT(ISNUMBER(G27))), "", F27+G27)</f>
        <v/>
      </c>
      <c r="I27" s="88">
        <f>$C$2</f>
        <v/>
      </c>
      <c r="J27" s="15">
        <f>IF(AND(ISNUMBER(H27), I27&lt;1), H27/(1-I27), "")</f>
        <v/>
      </c>
      <c r="L27" s="90" t="n"/>
      <c r="M27" s="49" t="n"/>
    </row>
    <row r="28" ht="15.75" customHeight="1" s="345">
      <c r="A28" s="80" t="n"/>
      <c r="B28" s="89" t="inlineStr">
        <is>
          <t>Insight Cafe</t>
        </is>
      </c>
      <c r="C28" s="90" t="n">
        <v>900</v>
      </c>
      <c r="D28" s="91" t="inlineStr">
        <is>
          <t>Flat fee (design only)</t>
        </is>
      </c>
      <c r="E28" s="77" t="n"/>
      <c r="F28" s="79">
        <f>IF(ISNUMBER(E28), E28*C28, "")</f>
        <v/>
      </c>
      <c r="G28" s="79">
        <f>IF(OR(ISBLANK(F28), NOT(ISNUMBER(F28))), "", F28 * 0.12)</f>
        <v/>
      </c>
      <c r="H28" s="79">
        <f>IF(OR(ISBLANK(G28), NOT(ISNUMBER(G28))), "", F28+G28)</f>
        <v/>
      </c>
      <c r="I28" s="88">
        <f>$C$2</f>
        <v/>
      </c>
      <c r="J28" s="15">
        <f>IF(AND(ISNUMBER(H28), I28&lt;1), H28/(1-I28), "")</f>
        <v/>
      </c>
      <c r="L28" s="90" t="n"/>
      <c r="M28" s="49" t="n"/>
    </row>
    <row r="29" ht="15.75" customHeight="1" s="345">
      <c r="A29" s="80" t="n"/>
      <c r="B29" s="89" t="inlineStr">
        <is>
          <t>Behavior Activation Toolkit</t>
        </is>
      </c>
      <c r="C29" s="90" t="n">
        <v>3750</v>
      </c>
      <c r="D29" s="91" t="inlineStr">
        <is>
          <t>Flat fee</t>
        </is>
      </c>
      <c r="E29" s="77" t="n"/>
      <c r="F29" s="79">
        <f>IF(ISNUMBER(E29), E29*C29, "")</f>
        <v/>
      </c>
      <c r="G29" s="79">
        <f>IF(OR(ISBLANK(F29), NOT(ISNUMBER(F29))), "", F29 * 0.12)</f>
        <v/>
      </c>
      <c r="H29" s="79">
        <f>IF(OR(ISBLANK(G29), NOT(ISNUMBER(G29))), "", F29+G29)</f>
        <v/>
      </c>
      <c r="I29" s="88">
        <f>$C$2</f>
        <v/>
      </c>
      <c r="J29" s="15">
        <f>IF(AND(ISNUMBER(H29), I29&lt;1), H29/(1-I29), "")</f>
        <v/>
      </c>
      <c r="L29" s="90" t="n"/>
      <c r="M29" s="49" t="n"/>
    </row>
    <row r="30" ht="15.75" customHeight="1" s="345">
      <c r="A30" s="80" t="n"/>
      <c r="B30" s="86" t="inlineStr">
        <is>
          <t>Values/Principles Immersive Learning Offsite (F2F)</t>
        </is>
      </c>
      <c r="C30" s="79" t="n">
        <v>5500</v>
      </c>
      <c r="D30" s="87" t="inlineStr">
        <is>
          <t>Per day (design only)</t>
        </is>
      </c>
      <c r="E30" s="77" t="n"/>
      <c r="F30" s="79">
        <f>IF(ISNUMBER(E30), E30*C30, "")</f>
        <v/>
      </c>
      <c r="G30" s="79">
        <f>IF(OR(ISBLANK(F30), NOT(ISNUMBER(F30))), "", F30 * 0.12)</f>
        <v/>
      </c>
      <c r="H30" s="79">
        <f>IF(OR(ISBLANK(G30), NOT(ISNUMBER(G30))), "", F30+G30)</f>
        <v/>
      </c>
      <c r="I30" s="88">
        <f>$C$2</f>
        <v/>
      </c>
      <c r="J30" s="15">
        <f>IF(AND(ISNUMBER(H30), I30&lt;1), H30/(1-I30), "")</f>
        <v/>
      </c>
      <c r="L30" s="90" t="n"/>
      <c r="M30" s="49" t="n"/>
    </row>
    <row r="31" ht="15.75" customHeight="1" s="345">
      <c r="A31" s="80" t="n"/>
      <c r="B31" s="89" t="inlineStr">
        <is>
          <t>Action Learning Brief</t>
        </is>
      </c>
      <c r="C31" s="90" t="n">
        <v>990</v>
      </c>
      <c r="D31" s="91" t="inlineStr">
        <is>
          <t>Per unit</t>
        </is>
      </c>
      <c r="E31" s="77" t="n"/>
      <c r="F31" s="79">
        <f>IF(ISNUMBER(E31), E31*C31, "")</f>
        <v/>
      </c>
      <c r="G31" s="79">
        <f>IF(OR(ISBLANK(F31), NOT(ISNUMBER(F31))), "", F31 * 0.12)</f>
        <v/>
      </c>
      <c r="H31" s="79">
        <f>IF(OR(ISBLANK(G31), NOT(ISNUMBER(G31))), "", F31+G31)</f>
        <v/>
      </c>
      <c r="I31" s="88">
        <f>$C$2</f>
        <v/>
      </c>
      <c r="J31" s="15">
        <f>IF(AND(ISNUMBER(H31), I31&lt;1), H31/(1-I31), "")</f>
        <v/>
      </c>
      <c r="K31" s="57" t="inlineStr">
        <is>
          <t>What is this? Facilitator debrief?</t>
        </is>
      </c>
      <c r="L31" s="90" t="n"/>
      <c r="M31" s="49" t="n"/>
    </row>
    <row r="32" ht="15.75" customHeight="1" s="345">
      <c r="A32" s="80" t="n"/>
      <c r="B32" s="89" t="inlineStr">
        <is>
          <t>Dialogue Toolkit</t>
        </is>
      </c>
      <c r="C32" s="90" t="n">
        <v>3750</v>
      </c>
      <c r="D32" s="91" t="inlineStr">
        <is>
          <t>Flat fee</t>
        </is>
      </c>
      <c r="E32" s="77" t="n"/>
      <c r="F32" s="79">
        <f>IF(ISNUMBER(E32), E32*C32, "")</f>
        <v/>
      </c>
      <c r="G32" s="79">
        <f>IF(OR(ISBLANK(F32), NOT(ISNUMBER(F32))), "", F32 * 0.12)</f>
        <v/>
      </c>
      <c r="H32" s="79">
        <f>IF(OR(ISBLANK(G32), NOT(ISNUMBER(G32))), "", F32+G32)</f>
        <v/>
      </c>
      <c r="I32" s="88">
        <f>$C$2</f>
        <v/>
      </c>
      <c r="J32" s="15">
        <f>IF(AND(ISNUMBER(H32), I32&lt;1), H32/(1-I32), "")</f>
        <v/>
      </c>
      <c r="K32" s="57" t="inlineStr">
        <is>
          <t>convert to a less expensive discussion guide. No deck/content.</t>
        </is>
      </c>
      <c r="L32" s="90" t="n"/>
      <c r="M32" s="49" t="n"/>
    </row>
    <row r="33" ht="15.75" customHeight="1" s="345">
      <c r="A33" s="80" t="n"/>
      <c r="B33" s="92" t="inlineStr">
        <is>
          <t>Peer Coaching</t>
        </is>
      </c>
      <c r="C33" s="93" t="n">
        <v>450</v>
      </c>
      <c r="D33" s="94" t="inlineStr">
        <is>
          <t>Per unit</t>
        </is>
      </c>
      <c r="E33" s="77" t="n"/>
      <c r="F33" s="95">
        <f>IF(ISNUMBER(E33), E33*C33, "")</f>
        <v/>
      </c>
      <c r="G33" s="95">
        <f>IF(OR(ISBLANK(F33), NOT(ISNUMBER(F33))), "", F33 * 0.12)</f>
        <v/>
      </c>
      <c r="H33" s="95">
        <f>IF(OR(ISBLANK(G33), NOT(ISNUMBER(G33))), "", F33+G33)</f>
        <v/>
      </c>
      <c r="I33" s="96">
        <f>$C$2</f>
        <v/>
      </c>
      <c r="J33" s="97">
        <f>IF(AND(ISNUMBER(H33), I33&lt;1), H33/(1-I33), "")</f>
        <v/>
      </c>
      <c r="L33" s="90" t="n"/>
      <c r="M33" s="49" t="n"/>
    </row>
    <row r="34" ht="15.75" customHeight="1" s="345">
      <c r="A34" s="80" t="n"/>
      <c r="B34" s="98" t="inlineStr">
        <is>
          <t>Principles/Values Workshop (Tailored)</t>
        </is>
      </c>
      <c r="C34" s="99" t="n">
        <v>2300</v>
      </c>
      <c r="D34" s="100" t="inlineStr">
        <is>
          <t>Flat fee (design only)</t>
        </is>
      </c>
      <c r="E34" s="101" t="n"/>
      <c r="F34" s="102">
        <f>IF(ISNUMBER(E34), E34*C34, "")</f>
        <v/>
      </c>
      <c r="G34" s="102">
        <f>IF(OR(ISBLANK(F34), NOT(ISNUMBER(F34))), "", F34 * 0.12)</f>
        <v/>
      </c>
      <c r="H34" s="102">
        <f>IF(OR(ISBLANK(G34), NOT(ISNUMBER(G34))), "", F34+G34)</f>
        <v/>
      </c>
      <c r="I34" s="103">
        <f>$C$2</f>
        <v/>
      </c>
      <c r="J34" s="104">
        <f>IF(AND(ISNUMBER(H34), I34&lt;1), H34/(1-I34), "")</f>
        <v/>
      </c>
      <c r="L34" s="90" t="n"/>
      <c r="M34" s="49" t="n"/>
    </row>
    <row r="35" ht="15.75" customHeight="1" s="345">
      <c r="A35" s="80" t="n"/>
      <c r="B35" s="86" t="inlineStr">
        <is>
          <t>SkillStream (1 path)</t>
        </is>
      </c>
      <c r="C35" s="90" t="n">
        <v>10500</v>
      </c>
      <c r="D35" s="87" t="inlineStr">
        <is>
          <t xml:space="preserve">Flat fee </t>
        </is>
      </c>
      <c r="E35" s="77" t="n"/>
      <c r="F35" s="79">
        <f>IF(ISNUMBER(E35), E35*C35, "")</f>
        <v/>
      </c>
      <c r="G35" s="79">
        <f>IF(OR(ISBLANK(F35), NOT(ISNUMBER(F35))), "", F35 * 0.12)</f>
        <v/>
      </c>
      <c r="H35" s="79">
        <f>IF(OR(ISBLANK(G35), NOT(ISNUMBER(G35))), "", F35+G35)</f>
        <v/>
      </c>
      <c r="I35" s="88">
        <f>$C$2</f>
        <v/>
      </c>
      <c r="J35" s="15">
        <f>IF(AND(ISNUMBER(H35), I35&lt;1), H35/(1-I35), "")</f>
        <v/>
      </c>
      <c r="L35" s="90" t="n"/>
      <c r="M35" s="49" t="n"/>
    </row>
    <row r="36" ht="15.75" customHeight="1" s="345">
      <c r="A36" s="80" t="n"/>
      <c r="B36" s="86" t="inlineStr">
        <is>
          <t>SkillStream (2 path)</t>
        </is>
      </c>
      <c r="C36" s="90" t="n">
        <v>20100</v>
      </c>
      <c r="D36" s="87" t="inlineStr">
        <is>
          <t xml:space="preserve">Flat fee </t>
        </is>
      </c>
      <c r="E36" s="77" t="n"/>
      <c r="F36" s="79">
        <f>IF(ISNUMBER(E36), E36*C36, "")</f>
        <v/>
      </c>
      <c r="G36" s="79">
        <f>IF(OR(ISBLANK(F36), NOT(ISNUMBER(F36))), "", F36 * 0.12)</f>
        <v/>
      </c>
      <c r="H36" s="79">
        <f>IF(OR(ISBLANK(G36), NOT(ISNUMBER(G36))), "", F36+G36)</f>
        <v/>
      </c>
      <c r="I36" s="88">
        <f>$C$2</f>
        <v/>
      </c>
      <c r="J36" s="15">
        <f>IF(AND(ISNUMBER(H36), I36&lt;1), H36/(1-I36), "")</f>
        <v/>
      </c>
      <c r="L36" s="90" t="n"/>
      <c r="M36" s="49" t="n"/>
    </row>
    <row r="37" ht="15.75" customHeight="1" s="345">
      <c r="A37" s="80" t="n"/>
      <c r="B37" s="105" t="inlineStr">
        <is>
          <t>Learning Lab</t>
        </is>
      </c>
      <c r="C37" s="106" t="n">
        <v>7500</v>
      </c>
      <c r="D37" s="107" t="inlineStr">
        <is>
          <t xml:space="preserve">Flat fee </t>
        </is>
      </c>
      <c r="E37" s="108" t="n"/>
      <c r="F37" s="106">
        <f>IF(ISNUMBER(E37), E37*C37, "")</f>
        <v/>
      </c>
      <c r="G37" s="106">
        <f>IF(OR(ISBLANK(F37), NOT(ISNUMBER(F37))), "", F37 * 0.12)</f>
        <v/>
      </c>
      <c r="H37" s="106">
        <f>IF(OR(ISBLANK(G37), NOT(ISNUMBER(G37))), "", F37+G37)</f>
        <v/>
      </c>
      <c r="I37" s="109">
        <f>$C$2</f>
        <v/>
      </c>
      <c r="J37" s="25">
        <f>IF(AND(ISNUMBER(H37), I37&lt;1), H37/(1-I37), "")</f>
        <v/>
      </c>
      <c r="L37" s="90" t="n"/>
      <c r="M37" s="49" t="n"/>
    </row>
    <row r="38" ht="15.75" customHeight="1" s="345">
      <c r="A38" s="110" t="n"/>
      <c r="B38" s="111" t="inlineStr">
        <is>
          <t>DEVELOPMENT TOTAL:</t>
        </is>
      </c>
      <c r="C38" s="112" t="n"/>
      <c r="D38" s="113" t="n"/>
      <c r="E38" s="113" t="n"/>
      <c r="F38" s="114">
        <f>SUM(F23:F37)</f>
        <v/>
      </c>
      <c r="G38" s="114">
        <f>SUM(G23:G37)</f>
        <v/>
      </c>
      <c r="H38" s="114">
        <f>SUM(H23:H37)</f>
        <v/>
      </c>
      <c r="I38" s="115" t="n"/>
      <c r="J38" s="116">
        <f>SUM(J23:J37)</f>
        <v/>
      </c>
    </row>
    <row r="39" ht="15.75" customHeight="1" s="345">
      <c r="A39" s="117" t="n"/>
      <c r="C39" s="49" t="n"/>
      <c r="F39" s="49" t="n"/>
      <c r="G39" s="49">
        <f>IF(OR(ISBLANK(F39), NOT(ISNUMBER(F39))), "", F39 * 0.12)</f>
        <v/>
      </c>
      <c r="H39" s="49">
        <f>IF(OR(ISBLANK(G39), NOT(ISNUMBER(G39))), "", F39+G39)</f>
        <v/>
      </c>
      <c r="I39" s="118" t="n"/>
      <c r="J39" s="49" t="n"/>
    </row>
    <row r="40" ht="15.75" customHeight="1" s="345">
      <c r="A40" s="35" t="n"/>
      <c r="B40" s="36" t="inlineStr">
        <is>
          <t>ITEM</t>
        </is>
      </c>
      <c r="C40" s="37" t="inlineStr">
        <is>
          <t>ITEM COST</t>
        </is>
      </c>
      <c r="D40" s="38" t="inlineStr">
        <is>
          <t>NOTE</t>
        </is>
      </c>
      <c r="E40" s="38" t="inlineStr">
        <is>
          <t>QUANTITY</t>
        </is>
      </c>
      <c r="F40" s="37" t="inlineStr">
        <is>
          <t>COST</t>
        </is>
      </c>
      <c r="G40" s="37" t="inlineStr">
        <is>
          <t>PM FEE (12%)</t>
        </is>
      </c>
      <c r="H40" s="37" t="inlineStr">
        <is>
          <t>COST W PM</t>
        </is>
      </c>
      <c r="I40" s="39" t="inlineStr">
        <is>
          <t>MARGIN</t>
        </is>
      </c>
      <c r="J40" s="37" t="inlineStr">
        <is>
          <t>CLIENT PRICE</t>
        </is>
      </c>
      <c r="L40" s="119" t="n"/>
      <c r="M40" s="49" t="n"/>
    </row>
    <row r="41" ht="15.75" customHeight="1" s="345">
      <c r="A41" s="349" t="inlineStr">
        <is>
          <t>Delivery</t>
        </is>
      </c>
      <c r="B41" s="121" t="inlineStr">
        <is>
          <t xml:space="preserve">ASSESSMENT  </t>
        </is>
      </c>
      <c r="C41" s="122" t="n"/>
      <c r="D41" s="123" t="n"/>
      <c r="E41" s="123" t="n"/>
      <c r="F41" s="122" t="n"/>
      <c r="G41" s="122" t="n"/>
      <c r="H41" s="122" t="n"/>
      <c r="I41" s="124" t="n"/>
      <c r="J41" s="125" t="n"/>
      <c r="L41" s="119" t="n"/>
      <c r="M41" s="49" t="n"/>
    </row>
    <row r="42" ht="15.75" customHeight="1" s="345">
      <c r="A42" s="347" t="n"/>
      <c r="B42" s="126" t="inlineStr">
        <is>
          <t>CMI Assessment</t>
        </is>
      </c>
      <c r="C42" s="127" t="n">
        <v>100</v>
      </c>
      <c r="D42" s="128" t="inlineStr">
        <is>
          <t>Per person</t>
        </is>
      </c>
      <c r="E42" s="129" t="n"/>
      <c r="F42" s="127">
        <f>IF(ISNUMBER(E42), E42*C42, "")</f>
        <v/>
      </c>
      <c r="G42" s="127">
        <f>IF(OR(ISBLANK(F42), NOT(ISNUMBER(F42))), "", F42 * 0.12)</f>
        <v/>
      </c>
      <c r="H42" s="127">
        <f>IF(OR(ISBLANK(G42), NOT(ISNUMBER(G42))), "", F42+G42)</f>
        <v/>
      </c>
      <c r="I42" s="130" t="n">
        <v>0</v>
      </c>
      <c r="J42" s="131">
        <f>IF(AND(ISNUMBER(H42), I42&lt;1), H42/(1-I42), "")</f>
        <v/>
      </c>
      <c r="L42" s="119" t="n"/>
      <c r="M42" s="49" t="n"/>
    </row>
    <row r="43" ht="15.75" customHeight="1" s="345">
      <c r="A43" s="347" t="n"/>
      <c r="B43" s="132" t="inlineStr">
        <is>
          <t>CMI 360 Report</t>
        </is>
      </c>
      <c r="C43" s="133" t="n">
        <v>250</v>
      </c>
      <c r="D43" s="134" t="inlineStr">
        <is>
          <t>Per person</t>
        </is>
      </c>
      <c r="E43" s="135" t="n"/>
      <c r="F43" s="133">
        <f>IF(ISNUMBER(E43), E43*C43, "")</f>
        <v/>
      </c>
      <c r="G43" s="133">
        <f>IF(OR(ISBLANK(F43), NOT(ISNUMBER(F43))), "", F43 * 0.12)</f>
        <v/>
      </c>
      <c r="H43" s="133">
        <f>IF(OR(ISBLANK(G43), NOT(ISNUMBER(G43))), "", F43+G43)</f>
        <v/>
      </c>
      <c r="I43" s="136" t="n">
        <v>0</v>
      </c>
      <c r="J43" s="137">
        <f>IF(AND(ISNUMBER(H43), I43&lt;1), H43/(1-I43), "")</f>
        <v/>
      </c>
      <c r="L43" s="119" t="n"/>
      <c r="M43" s="49" t="n"/>
    </row>
    <row r="44" ht="15.75" customHeight="1" s="345">
      <c r="A44" s="347" t="n"/>
      <c r="B44" s="138" t="inlineStr">
        <is>
          <t>CMI Group Report</t>
        </is>
      </c>
      <c r="C44" s="139" t="n">
        <v>150</v>
      </c>
      <c r="D44" s="140" t="inlineStr">
        <is>
          <t>Per cohort</t>
        </is>
      </c>
      <c r="E44" s="141" t="n"/>
      <c r="F44" s="133">
        <f>IF(ISNUMBER(E44), E44*C44, "")</f>
        <v/>
      </c>
      <c r="G44" s="133">
        <f>IF(OR(ISBLANK(F44), NOT(ISNUMBER(F44))), "", F44 * 0.12)</f>
        <v/>
      </c>
      <c r="H44" s="133">
        <f>IF(OR(ISBLANK(G44), NOT(ISNUMBER(G44))), "", F44+G44)</f>
        <v/>
      </c>
      <c r="I44" s="136" t="n">
        <v>0</v>
      </c>
      <c r="J44" s="137">
        <f>IF(AND(ISNUMBER(H44), I44&lt;1), H44/(1-I44), "")</f>
        <v/>
      </c>
      <c r="L44" s="119" t="n"/>
      <c r="M44" s="49" t="n"/>
    </row>
    <row r="45" ht="15.75" customHeight="1" s="345">
      <c r="A45" s="347" t="n"/>
      <c r="B45" s="138" t="inlineStr">
        <is>
          <t>LD12 Assessment</t>
        </is>
      </c>
      <c r="C45" s="142" t="n">
        <v>150</v>
      </c>
      <c r="D45" s="140" t="inlineStr">
        <is>
          <t>Per person</t>
        </is>
      </c>
      <c r="E45" s="141" t="n"/>
      <c r="F45" s="133">
        <f>IF(ISNUMBER(E45), E45*C45, "")</f>
        <v/>
      </c>
      <c r="G45" s="133">
        <f>IF(OR(ISBLANK(F45), NOT(ISNUMBER(F45))), "", F45 * 0.12)</f>
        <v/>
      </c>
      <c r="H45" s="133">
        <f>IF(OR(ISBLANK(G45), NOT(ISNUMBER(G45))), "", F45+G45)</f>
        <v/>
      </c>
      <c r="I45" s="136" t="n">
        <v>0</v>
      </c>
      <c r="J45" s="137">
        <f>IF(AND(ISNUMBER(H45), I45&lt;1), H45/(1-I45), "")</f>
        <v/>
      </c>
      <c r="L45" s="119" t="n"/>
      <c r="M45" s="49" t="n"/>
    </row>
    <row r="46" ht="15.75" customHeight="1" s="345">
      <c r="A46" s="347" t="n"/>
      <c r="B46" s="138" t="inlineStr">
        <is>
          <t>LD12 360 Assessment</t>
        </is>
      </c>
      <c r="C46" s="142" t="n">
        <v>350</v>
      </c>
      <c r="D46" s="140" t="inlineStr">
        <is>
          <t>Per person</t>
        </is>
      </c>
      <c r="E46" s="141" t="n"/>
      <c r="F46" s="133">
        <f>IF(ISNUMBER(E46), E46*C46, "")</f>
        <v/>
      </c>
      <c r="G46" s="133">
        <f>IF(OR(ISBLANK(F46), NOT(ISNUMBER(F46))), "", F46 * 0.12)</f>
        <v/>
      </c>
      <c r="H46" s="133">
        <f>IF(OR(ISBLANK(G46), NOT(ISNUMBER(G46))), "", F46+G46)</f>
        <v/>
      </c>
      <c r="I46" s="136" t="n">
        <v>0</v>
      </c>
      <c r="J46" s="137">
        <f>IF(AND(ISNUMBER(H46), I46&lt;1), H46/(1-I46), "")</f>
        <v/>
      </c>
      <c r="L46" s="119" t="n"/>
      <c r="M46" s="49" t="n"/>
    </row>
    <row r="47" ht="15.75" customHeight="1" s="345">
      <c r="A47" s="347" t="n"/>
      <c r="B47" s="138" t="inlineStr">
        <is>
          <t>Core Values Navigator</t>
        </is>
      </c>
      <c r="C47" s="142" t="n">
        <v>150</v>
      </c>
      <c r="D47" s="140" t="inlineStr">
        <is>
          <t>Per person</t>
        </is>
      </c>
      <c r="E47" s="141" t="n"/>
      <c r="F47" s="133">
        <f>IF(ISNUMBER(E47), E47*C47, "")</f>
        <v/>
      </c>
      <c r="G47" s="133">
        <f>IF(OR(ISBLANK(F47), NOT(ISNUMBER(F47))), "", F47 * 0.12)</f>
        <v/>
      </c>
      <c r="H47" s="133">
        <f>IF(OR(ISBLANK(G47), NOT(ISNUMBER(G47))), "", F47+G47)</f>
        <v/>
      </c>
      <c r="I47" s="136" t="n">
        <v>0</v>
      </c>
      <c r="J47" s="137">
        <f>IF(AND(ISNUMBER(H47), I47&lt;1), H47/(1-I47), "")</f>
        <v/>
      </c>
      <c r="L47" s="119" t="n"/>
      <c r="M47" s="49" t="n"/>
    </row>
    <row r="48" ht="15.75" customHeight="1" s="345">
      <c r="A48" s="347" t="n"/>
      <c r="B48" s="138" t="inlineStr">
        <is>
          <t>Hogan Insights Series</t>
        </is>
      </c>
      <c r="C48" s="142" t="n">
        <v>300</v>
      </c>
      <c r="D48" s="140" t="inlineStr">
        <is>
          <t>Per person</t>
        </is>
      </c>
      <c r="E48" s="141" t="n"/>
      <c r="F48" s="133">
        <f>IF(ISNUMBER(E48), E48*C48, "")</f>
        <v/>
      </c>
      <c r="G48" s="133">
        <f>IF(OR(ISBLANK(F48), NOT(ISNUMBER(F48))), "", F48 * 0.12)</f>
        <v/>
      </c>
      <c r="H48" s="133">
        <f>IF(OR(ISBLANK(G48), NOT(ISNUMBER(G48))), "", F48+G48)</f>
        <v/>
      </c>
      <c r="I48" s="136" t="n">
        <v>0</v>
      </c>
      <c r="J48" s="137">
        <f>IF(AND(ISNUMBER(H48), I48&lt;1), H48/(1-I48), "")</f>
        <v/>
      </c>
      <c r="L48" s="119" t="n"/>
      <c r="M48" s="49" t="n"/>
    </row>
    <row r="49" ht="15.75" customHeight="1" s="345">
      <c r="A49" s="347" t="n"/>
      <c r="B49" s="138" t="inlineStr">
        <is>
          <t>Leadership Genome</t>
        </is>
      </c>
      <c r="C49" s="142" t="n">
        <v>1500</v>
      </c>
      <c r="D49" s="140" t="inlineStr">
        <is>
          <t>Per unit</t>
        </is>
      </c>
      <c r="E49" s="141" t="n"/>
      <c r="F49" s="133">
        <f>IF(ISNUMBER(E49), E49*C49, "")</f>
        <v/>
      </c>
      <c r="G49" s="133">
        <f>IF(OR(ISBLANK(F49), NOT(ISNUMBER(F49))), "", F49 * 0.12)</f>
        <v/>
      </c>
      <c r="H49" s="133">
        <f>IF(OR(ISBLANK(G49), NOT(ISNUMBER(G49))), "", F49+G49)</f>
        <v/>
      </c>
      <c r="I49" s="136">
        <f>$C$2</f>
        <v/>
      </c>
      <c r="J49" s="137">
        <f>IF(AND(ISNUMBER(H49), I49&lt;1), H49/(1-I49), "")</f>
        <v/>
      </c>
      <c r="L49" s="119" t="n"/>
      <c r="M49" s="49" t="n"/>
    </row>
    <row r="50" ht="15.75" customHeight="1" s="345">
      <c r="A50" s="347" t="n"/>
      <c r="B50" s="138" t="inlineStr">
        <is>
          <t>Leadership Blueprint Package</t>
        </is>
      </c>
      <c r="C50" s="142" t="n">
        <v>4500</v>
      </c>
      <c r="D50" s="140" t="inlineStr">
        <is>
          <t>Per unit</t>
        </is>
      </c>
      <c r="E50" s="141" t="n"/>
      <c r="F50" s="133">
        <f>IF(ISNUMBER(E50), E50*C50, "")</f>
        <v/>
      </c>
      <c r="G50" s="133">
        <f>IF(OR(ISBLANK(F50), NOT(ISNUMBER(F50))), "", F50 * 0.12)</f>
        <v/>
      </c>
      <c r="H50" s="133">
        <f>IF(OR(ISBLANK(G50), NOT(ISNUMBER(G50))), "", F50+G50)</f>
        <v/>
      </c>
      <c r="I50" s="136">
        <f>$C$2</f>
        <v/>
      </c>
      <c r="J50" s="137">
        <f>IF(AND(ISNUMBER(H50), I50&lt;1), H50/(1-I50), "")</f>
        <v/>
      </c>
      <c r="L50" s="119" t="n"/>
      <c r="M50" s="49" t="n"/>
    </row>
    <row r="51" ht="15.75" customHeight="1" s="345">
      <c r="A51" s="347" t="n"/>
      <c r="B51" s="138" t="inlineStr">
        <is>
          <t>Leadership Insights Package</t>
        </is>
      </c>
      <c r="C51" s="142" t="n">
        <v>1534.05</v>
      </c>
      <c r="D51" s="140" t="inlineStr">
        <is>
          <t>Per person</t>
        </is>
      </c>
      <c r="E51" s="141" t="n"/>
      <c r="F51" s="133">
        <f>IF(ISNUMBER(E51), E51*C51, "")</f>
        <v/>
      </c>
      <c r="G51" s="133">
        <f>IF(OR(ISBLANK(F51), NOT(ISNUMBER(F51))), "", F51 * 0.12)</f>
        <v/>
      </c>
      <c r="H51" s="133">
        <f>IF(OR(ISBLANK(G51), NOT(ISNUMBER(G51))), "", F51+G51)</f>
        <v/>
      </c>
      <c r="I51" s="136">
        <f>$C$2</f>
        <v/>
      </c>
      <c r="J51" s="137">
        <f>IF(AND(ISNUMBER(H51), I51&lt;1), H51/(1-I51), "")</f>
        <v/>
      </c>
      <c r="L51" s="119" t="n"/>
      <c r="M51" s="49" t="n"/>
    </row>
    <row r="52" ht="15.75" customHeight="1" s="345">
      <c r="A52" s="347" t="n"/>
      <c r="B52" s="138" t="inlineStr">
        <is>
          <t>Leadership Pipeline Package</t>
        </is>
      </c>
      <c r="C52" s="142" t="n">
        <v>6136.2</v>
      </c>
      <c r="D52" s="140" t="inlineStr">
        <is>
          <t>Per role</t>
        </is>
      </c>
      <c r="E52" s="141" t="n"/>
      <c r="F52" s="133">
        <f>IF(ISNUMBER(E52), E52*C52, "")</f>
        <v/>
      </c>
      <c r="G52" s="133">
        <f>IF(OR(ISBLANK(F52), NOT(ISNUMBER(F52))), "", F52 * 0.12)</f>
        <v/>
      </c>
      <c r="H52" s="133">
        <f>IF(OR(ISBLANK(G52), NOT(ISNUMBER(G52))), "", F52+G52)</f>
        <v/>
      </c>
      <c r="I52" s="136">
        <f>$C$2</f>
        <v/>
      </c>
      <c r="J52" s="137">
        <f>IF(AND(ISNUMBER(H52), I52&lt;1), H52/(1-I52), "")</f>
        <v/>
      </c>
      <c r="L52" s="119" t="n"/>
      <c r="M52" s="49" t="n"/>
    </row>
    <row r="53" ht="15.75" customHeight="1" s="345">
      <c r="A53" s="347" t="n"/>
      <c r="B53" s="132" t="inlineStr">
        <is>
          <t>TES Survey (Standard)</t>
        </is>
      </c>
      <c r="C53" s="133" t="n">
        <v>500</v>
      </c>
      <c r="D53" s="134" t="inlineStr">
        <is>
          <t>Per team</t>
        </is>
      </c>
      <c r="E53" s="135" t="n"/>
      <c r="F53" s="133">
        <f>IF(ISNUMBER(E53), E53*C53, "")</f>
        <v/>
      </c>
      <c r="G53" s="133">
        <f>IF(OR(ISBLANK(F53), NOT(ISNUMBER(F53))), "", F53 * 0.12)</f>
        <v/>
      </c>
      <c r="H53" s="133">
        <f>IF(OR(ISBLANK(G53), NOT(ISNUMBER(G53))), "", F53+G53)</f>
        <v/>
      </c>
      <c r="I53" s="136" t="n">
        <v>0</v>
      </c>
      <c r="J53" s="137">
        <f>IF(AND(ISNUMBER(H53), I53&lt;1), H53/(1-I53), "")</f>
        <v/>
      </c>
      <c r="L53" s="119" t="n"/>
      <c r="M53" s="49" t="n"/>
    </row>
    <row r="54" ht="15.75" customHeight="1" s="345">
      <c r="A54" s="347" t="n"/>
      <c r="B54" s="132" t="inlineStr">
        <is>
          <t>TES Survey (Bulk, 50-99)</t>
        </is>
      </c>
      <c r="C54" s="133" t="n">
        <v>475</v>
      </c>
      <c r="D54" s="134" t="inlineStr">
        <is>
          <t>Per team</t>
        </is>
      </c>
      <c r="E54" s="135" t="n"/>
      <c r="F54" s="133">
        <f>IF(ISNUMBER(E54), E54*C54, "")</f>
        <v/>
      </c>
      <c r="G54" s="133">
        <f>IF(OR(ISBLANK(F54), NOT(ISNUMBER(F54))), "", F54 * 0.12)</f>
        <v/>
      </c>
      <c r="H54" s="133">
        <f>IF(OR(ISBLANK(G54), NOT(ISNUMBER(G54))), "", F54+G54)</f>
        <v/>
      </c>
      <c r="I54" s="136" t="n">
        <v>0</v>
      </c>
      <c r="J54" s="137">
        <f>IF(AND(ISNUMBER(H54), I54&lt;1), H54/(1-I54), "")</f>
        <v/>
      </c>
      <c r="L54" s="119" t="n"/>
      <c r="M54" s="49" t="n"/>
    </row>
    <row r="55" ht="15.75" customHeight="1" s="345">
      <c r="A55" s="347" t="n"/>
      <c r="B55" s="138" t="inlineStr">
        <is>
          <t>TES Survey (Bulk, 100-199)</t>
        </is>
      </c>
      <c r="C55" s="139" t="n">
        <v>470</v>
      </c>
      <c r="D55" s="140" t="inlineStr">
        <is>
          <t>Per team</t>
        </is>
      </c>
      <c r="E55" s="135" t="n"/>
      <c r="F55" s="133">
        <f>IF(ISNUMBER(E55), E55*C55, "")</f>
        <v/>
      </c>
      <c r="G55" s="133">
        <f>IF(OR(ISBLANK(F55), NOT(ISNUMBER(F55))), "", F55 * 0.12)</f>
        <v/>
      </c>
      <c r="H55" s="133">
        <f>IF(OR(ISBLANK(G55), NOT(ISNUMBER(G55))), "", F55+G55)</f>
        <v/>
      </c>
      <c r="I55" s="136" t="n">
        <v>0</v>
      </c>
      <c r="J55" s="137">
        <f>IF(AND(ISNUMBER(H55), I55&lt;1), H55/(1-I55), "")</f>
        <v/>
      </c>
      <c r="L55" s="119" t="n"/>
      <c r="M55" s="49" t="n"/>
    </row>
    <row r="56" ht="15.75" customHeight="1" s="345">
      <c r="A56" s="347" t="n"/>
      <c r="B56" s="143" t="inlineStr">
        <is>
          <t>TES Survey (Bulk, 200+)</t>
        </is>
      </c>
      <c r="C56" s="144" t="n">
        <v>460</v>
      </c>
      <c r="D56" s="145" t="inlineStr">
        <is>
          <t>Per team</t>
        </is>
      </c>
      <c r="E56" s="146" t="n"/>
      <c r="F56" s="147">
        <f>IF(ISNUMBER(E56), E56*C56, "")</f>
        <v/>
      </c>
      <c r="G56" s="147">
        <f>IF(OR(ISBLANK(F56), NOT(ISNUMBER(F56))), "", F56 * 0.12)</f>
        <v/>
      </c>
      <c r="H56" s="147">
        <f>IF(OR(ISBLANK(G56), NOT(ISNUMBER(G56))), "", F56+G56)</f>
        <v/>
      </c>
      <c r="I56" s="148" t="n">
        <v>0</v>
      </c>
      <c r="J56" s="149">
        <f>IF(AND(ISNUMBER(H56), I56&lt;1), F56+ (G56/(1-I56)), "")</f>
        <v/>
      </c>
      <c r="L56" s="119" t="n"/>
      <c r="M56" s="49" t="n"/>
    </row>
    <row r="57" ht="15.75" customHeight="1" s="345">
      <c r="A57" s="347" t="n"/>
      <c r="B57" s="150" t="inlineStr">
        <is>
          <t>Stakeholder Interview (30 min)</t>
        </is>
      </c>
      <c r="C57" s="151" t="n">
        <v>195</v>
      </c>
      <c r="D57" s="152" t="inlineStr">
        <is>
          <t>Per session</t>
        </is>
      </c>
      <c r="E57" s="153" t="n"/>
      <c r="F57" s="151">
        <f>IF(ISNUMBER(E57), E57*C57, "")</f>
        <v/>
      </c>
      <c r="G57" s="151">
        <f>IF(OR(ISBLANK(F57), NOT(ISNUMBER(F57))), "", F57 * 0.12)</f>
        <v/>
      </c>
      <c r="H57" s="151">
        <f>IF(OR(ISBLANK(G57), NOT(ISNUMBER(G57))), "", F57+G57)</f>
        <v/>
      </c>
      <c r="I57" s="154">
        <f>$C$2</f>
        <v/>
      </c>
      <c r="J57" s="155">
        <f>IF(AND(ISNUMBER(H57), I57&lt;1), H57/(1-I57), "")</f>
        <v/>
      </c>
      <c r="L57" s="119" t="n"/>
      <c r="M57" s="49" t="n"/>
    </row>
    <row r="58" ht="15.75" customHeight="1" s="345">
      <c r="A58" s="347" t="n"/>
      <c r="B58" s="156" t="n"/>
      <c r="C58" s="157" t="n"/>
      <c r="D58" s="158" t="n"/>
      <c r="E58" s="159" t="n"/>
      <c r="F58" s="157" t="n"/>
      <c r="G58" s="157" t="n"/>
      <c r="H58" s="157" t="n"/>
      <c r="I58" s="160" t="n"/>
      <c r="J58" s="161" t="n"/>
      <c r="L58" s="119" t="n"/>
      <c r="M58" s="49" t="n"/>
    </row>
    <row r="59" ht="15.75" customHeight="1" s="345">
      <c r="A59" s="347" t="n"/>
      <c r="B59" s="162" t="inlineStr">
        <is>
          <t>Assessment Total:</t>
        </is>
      </c>
      <c r="C59" s="163" t="n"/>
      <c r="D59" s="164" t="n"/>
      <c r="E59" s="164" t="n"/>
      <c r="F59" s="163">
        <f>SUM(F42:F58)</f>
        <v/>
      </c>
      <c r="G59" s="163">
        <f>SUM(G42:G58)</f>
        <v/>
      </c>
      <c r="H59" s="163">
        <f>SUM(H42:H58)</f>
        <v/>
      </c>
      <c r="I59" s="165" t="n"/>
      <c r="J59" s="166">
        <f>SUM(J42:J58)</f>
        <v/>
      </c>
      <c r="L59" s="119" t="n"/>
      <c r="M59" s="49" t="n"/>
    </row>
    <row r="60" ht="15.75" customHeight="1" s="345">
      <c r="A60" s="347" t="n"/>
      <c r="B60" s="121" t="inlineStr">
        <is>
          <t>LD FACILITATION</t>
        </is>
      </c>
      <c r="C60" s="167" t="inlineStr">
        <is>
          <t>ITEM COST</t>
        </is>
      </c>
      <c r="D60" s="168" t="inlineStr">
        <is>
          <t>NOTE</t>
        </is>
      </c>
      <c r="E60" s="168" t="inlineStr">
        <is>
          <t>QUANTITY</t>
        </is>
      </c>
      <c r="F60" s="167" t="inlineStr">
        <is>
          <t>COST</t>
        </is>
      </c>
      <c r="G60" s="167" t="inlineStr">
        <is>
          <t>PM FEE (12%)</t>
        </is>
      </c>
      <c r="H60" s="167" t="inlineStr">
        <is>
          <t>COST W PM</t>
        </is>
      </c>
      <c r="I60" s="169" t="inlineStr">
        <is>
          <t>MARGIN</t>
        </is>
      </c>
      <c r="J60" s="167" t="inlineStr">
        <is>
          <t>CLIENT PRICE</t>
        </is>
      </c>
      <c r="L60" s="119" t="n"/>
      <c r="M60" s="49" t="n"/>
    </row>
    <row r="61" ht="15.75" customHeight="1" s="345">
      <c r="A61" s="347" t="n"/>
      <c r="B61" s="126" t="inlineStr">
        <is>
          <t>Virtual Facilitation (NA) - Up to 2hr</t>
        </is>
      </c>
      <c r="C61" s="127" t="n">
        <v>1200</v>
      </c>
      <c r="D61" s="128" t="inlineStr">
        <is>
          <t>Per session</t>
        </is>
      </c>
      <c r="E61" s="129" t="n"/>
      <c r="F61" s="127">
        <f>IF(ISNUMBER(E61), E61*C61, "")</f>
        <v/>
      </c>
      <c r="G61" s="127">
        <f>IF(OR(ISBLANK(F61), NOT(ISNUMBER(F61))), "", F61 * 0.12)</f>
        <v/>
      </c>
      <c r="H61" s="127">
        <f>IF(OR(ISBLANK(G61), NOT(ISNUMBER(G61))), "", F61+G61)</f>
        <v/>
      </c>
      <c r="I61" s="130">
        <f>$C$2</f>
        <v/>
      </c>
      <c r="J61" s="131">
        <f>IF(AND(ISNUMBER(H61), I61&lt;1), H61/(1-I61), "")</f>
        <v/>
      </c>
      <c r="L61" s="170" t="n">
        <v>3750</v>
      </c>
      <c r="M61" s="49">
        <f>L61*0.3</f>
        <v/>
      </c>
    </row>
    <row r="62" ht="15.75" customHeight="1" s="345">
      <c r="A62" s="347" t="n"/>
      <c r="B62" s="132" t="inlineStr">
        <is>
          <t>Virtual Facilitation (NA) - 2.5 to 4hr</t>
        </is>
      </c>
      <c r="C62" s="133" t="n">
        <v>2400</v>
      </c>
      <c r="D62" s="134" t="inlineStr">
        <is>
          <t>Per session</t>
        </is>
      </c>
      <c r="E62" s="135" t="n"/>
      <c r="F62" s="133">
        <f>IF(ISNUMBER(E62), E62*C62, "")</f>
        <v/>
      </c>
      <c r="G62" s="133">
        <f>IF(OR(ISBLANK(F62), NOT(ISNUMBER(F62))), "", F62 * 0.12)</f>
        <v/>
      </c>
      <c r="H62" s="133">
        <f>IF(OR(ISBLANK(G62), NOT(ISNUMBER(G62))), "", F62+G62)</f>
        <v/>
      </c>
      <c r="I62" s="136">
        <f>$C$2</f>
        <v/>
      </c>
      <c r="J62" s="137">
        <f>IF(AND(ISNUMBER(H62), I62&lt;1), H62/(1-I62), "")</f>
        <v/>
      </c>
      <c r="L62" s="171" t="n">
        <v>4500</v>
      </c>
      <c r="M62" s="49">
        <f>L62*0.3</f>
        <v/>
      </c>
    </row>
    <row r="63" ht="15.75" customHeight="1" s="345">
      <c r="A63" s="347" t="n"/>
      <c r="B63" s="132" t="inlineStr">
        <is>
          <t>Virtual Facilitation (EM) - Up to 2hr</t>
        </is>
      </c>
      <c r="C63" s="133" t="n">
        <v>900</v>
      </c>
      <c r="D63" s="134" t="inlineStr">
        <is>
          <t>Per session</t>
        </is>
      </c>
      <c r="E63" s="135" t="n"/>
      <c r="F63" s="133">
        <f>IF(ISNUMBER(E63), E63*C63, "")</f>
        <v/>
      </c>
      <c r="G63" s="133">
        <f>IF(OR(ISBLANK(F63), NOT(ISNUMBER(F63))), "", F63 * 0.12)</f>
        <v/>
      </c>
      <c r="H63" s="133">
        <f>IF(OR(ISBLANK(G63), NOT(ISNUMBER(G63))), "", F63+G63)</f>
        <v/>
      </c>
      <c r="I63" s="136">
        <f>$C$2</f>
        <v/>
      </c>
      <c r="J63" s="137">
        <f>IF(AND(ISNUMBER(H63), I63&lt;1), H63/(1-I63), "")</f>
        <v/>
      </c>
      <c r="K63" s="172" t="n"/>
      <c r="L63" s="173" t="n"/>
      <c r="M63" s="173" t="n"/>
      <c r="N63" s="172" t="n"/>
      <c r="O63" s="172" t="n"/>
      <c r="P63" s="172" t="n"/>
      <c r="Q63" s="174" t="n"/>
      <c r="R63" s="172" t="n"/>
    </row>
    <row r="64" ht="15.75" customHeight="1" s="345">
      <c r="A64" s="347" t="n"/>
      <c r="B64" s="132" t="inlineStr">
        <is>
          <t>Virtual Facilitation (EM) - 2.5 to 4hr</t>
        </is>
      </c>
      <c r="C64" s="133" t="n">
        <v>1800</v>
      </c>
      <c r="D64" s="134" t="inlineStr">
        <is>
          <t>Per session</t>
        </is>
      </c>
      <c r="E64" s="135" t="n"/>
      <c r="F64" s="133">
        <f>IF(ISNUMBER(E64), E64*C64, "")</f>
        <v/>
      </c>
      <c r="G64" s="133">
        <f>IF(OR(ISBLANK(F64), NOT(ISNUMBER(F64))), "", F64 * 0.12)</f>
        <v/>
      </c>
      <c r="H64" s="133">
        <f>IF(OR(ISBLANK(G64), NOT(ISNUMBER(G64))), "", F64+G64)</f>
        <v/>
      </c>
      <c r="I64" s="136">
        <f>$C$2</f>
        <v/>
      </c>
      <c r="J64" s="137">
        <f>IF(AND(ISNUMBER(H64), I64&lt;1), H64/(1-I64), "")</f>
        <v/>
      </c>
      <c r="L64" s="171" t="n"/>
      <c r="M64" s="49" t="n"/>
    </row>
    <row r="65" ht="15.75" customHeight="1" s="345">
      <c r="A65" s="347" t="n"/>
      <c r="B65" s="132" t="inlineStr">
        <is>
          <t>F2F Facilitation Tier 1 (NA) - 1/2 day</t>
        </is>
      </c>
      <c r="C65" s="133" t="n">
        <v>2400</v>
      </c>
      <c r="D65" s="134" t="inlineStr">
        <is>
          <t>Per session</t>
        </is>
      </c>
      <c r="E65" s="135" t="n"/>
      <c r="F65" s="133">
        <f>IF(ISNUMBER(E65), E65*C65, "")</f>
        <v/>
      </c>
      <c r="G65" s="133">
        <f>IF(OR(ISBLANK(F65), NOT(ISNUMBER(F65))), "", F65 * 0.12)</f>
        <v/>
      </c>
      <c r="H65" s="133">
        <f>IF(OR(ISBLANK(G65), NOT(ISNUMBER(G65))), "", F65+G65)</f>
        <v/>
      </c>
      <c r="I65" s="136">
        <f>$C$2</f>
        <v/>
      </c>
      <c r="J65" s="137">
        <f>IF(AND(ISNUMBER(H65), I65&lt;1), H65/(1-I65), "")</f>
        <v/>
      </c>
      <c r="L65" s="171" t="n">
        <v>8250</v>
      </c>
      <c r="M65" s="49">
        <f>L65*0.3</f>
        <v/>
      </c>
    </row>
    <row r="66" ht="15.75" customHeight="1" s="345">
      <c r="A66" s="347" t="n"/>
      <c r="B66" s="132" t="inlineStr">
        <is>
          <t>F2F Facilitation Tier 2 (NA) - 1/2 day</t>
        </is>
      </c>
      <c r="C66" s="133" t="n">
        <v>1800</v>
      </c>
      <c r="D66" s="134" t="inlineStr">
        <is>
          <t>Per session</t>
        </is>
      </c>
      <c r="E66" s="135" t="n"/>
      <c r="F66" s="133">
        <f>IF(ISNUMBER(E66), E66*C66, "")</f>
        <v/>
      </c>
      <c r="G66" s="133">
        <f>IF(OR(ISBLANK(F66), NOT(ISNUMBER(F66))), "", F66 * 0.12)</f>
        <v/>
      </c>
      <c r="H66" s="133">
        <f>IF(OR(ISBLANK(G66), NOT(ISNUMBER(G66))), "", F66+G66)</f>
        <v/>
      </c>
      <c r="I66" s="136">
        <f>$C$2</f>
        <v/>
      </c>
      <c r="J66" s="137">
        <f>IF(AND(ISNUMBER(H66), I66&lt;1), H66/(1-I66), "")</f>
        <v/>
      </c>
      <c r="L66" s="171" t="n"/>
      <c r="M66" s="49" t="n"/>
    </row>
    <row r="67" ht="15.75" customHeight="1" s="345">
      <c r="A67" s="347" t="n"/>
      <c r="B67" s="132" t="inlineStr">
        <is>
          <t>F2F Facilitation Tier 1 (NA) - Full day</t>
        </is>
      </c>
      <c r="C67" s="133" t="n">
        <v>4000</v>
      </c>
      <c r="D67" s="134" t="inlineStr">
        <is>
          <t>Per session</t>
        </is>
      </c>
      <c r="E67" s="135" t="n"/>
      <c r="F67" s="133">
        <f>IF(ISNUMBER(E67), E67*C67, "")</f>
        <v/>
      </c>
      <c r="G67" s="133">
        <f>IF(OR(ISBLANK(F67), NOT(ISNUMBER(F67))), "", F67 * 0.12)</f>
        <v/>
      </c>
      <c r="H67" s="133">
        <f>IF(OR(ISBLANK(G67), NOT(ISNUMBER(G67))), "", F67+G67)</f>
        <v/>
      </c>
      <c r="I67" s="136">
        <f>$C$2</f>
        <v/>
      </c>
      <c r="J67" s="137">
        <f>IF(AND(ISNUMBER(H67), I67&lt;1), H67/(1-I67), "")</f>
        <v/>
      </c>
      <c r="L67" s="171" t="n"/>
      <c r="M67" s="49" t="n"/>
    </row>
    <row r="68" ht="15.75" customHeight="1" s="345">
      <c r="A68" s="347" t="n"/>
      <c r="B68" s="132" t="inlineStr">
        <is>
          <t>F2F Facilitation Tier 2 (NA) - Full day</t>
        </is>
      </c>
      <c r="C68" s="133" t="n">
        <v>3000</v>
      </c>
      <c r="D68" s="134" t="inlineStr">
        <is>
          <t>Per session</t>
        </is>
      </c>
      <c r="E68" s="135" t="n"/>
      <c r="F68" s="133">
        <f>IF(ISNUMBER(E68), E68*C68, "")</f>
        <v/>
      </c>
      <c r="G68" s="133">
        <f>IF(OR(ISBLANK(F68), NOT(ISNUMBER(F68))), "", F68 * 0.12)</f>
        <v/>
      </c>
      <c r="H68" s="133">
        <f>IF(OR(ISBLANK(G68), NOT(ISNUMBER(G68))), "", F68+G68)</f>
        <v/>
      </c>
      <c r="I68" s="136">
        <f>$C$2</f>
        <v/>
      </c>
      <c r="J68" s="137">
        <f>IF(AND(ISNUMBER(H68), I68&lt;1), H68/(1-I68), "")</f>
        <v/>
      </c>
      <c r="L68" s="171" t="n"/>
      <c r="M68" s="49" t="n"/>
    </row>
    <row r="69" ht="15.75" customHeight="1" s="345">
      <c r="A69" s="347" t="n"/>
      <c r="B69" s="132" t="inlineStr">
        <is>
          <t>F2F Facilitation Tier 1 (EM) - 1/2 day</t>
        </is>
      </c>
      <c r="C69" s="133" t="n">
        <v>1800</v>
      </c>
      <c r="D69" s="134" t="inlineStr">
        <is>
          <t>Per session</t>
        </is>
      </c>
      <c r="E69" s="135" t="n"/>
      <c r="F69" s="133">
        <f>IF(ISNUMBER(E69), E69*C69, "")</f>
        <v/>
      </c>
      <c r="G69" s="133">
        <f>IF(OR(ISBLANK(F69), NOT(ISNUMBER(F69))), "", F69 * 0.12)</f>
        <v/>
      </c>
      <c r="H69" s="133">
        <f>IF(OR(ISBLANK(G69), NOT(ISNUMBER(G69))), "", F69+G69)</f>
        <v/>
      </c>
      <c r="I69" s="136">
        <f>$C$2</f>
        <v/>
      </c>
      <c r="J69" s="137">
        <f>IF(AND(ISNUMBER(H69), I69&lt;1), H69/(1-I69), "")</f>
        <v/>
      </c>
      <c r="L69" s="171" t="n"/>
      <c r="M69" s="49" t="n"/>
    </row>
    <row r="70" ht="15.75" customHeight="1" s="345">
      <c r="A70" s="347" t="n"/>
      <c r="B70" s="132" t="inlineStr">
        <is>
          <t>F2F Facilitation Tier 2 (EM) - 1/2 day</t>
        </is>
      </c>
      <c r="C70" s="133" t="n">
        <v>1200</v>
      </c>
      <c r="D70" s="134" t="inlineStr">
        <is>
          <t>Per session</t>
        </is>
      </c>
      <c r="E70" s="135" t="n"/>
      <c r="F70" s="133">
        <f>IF(ISNUMBER(E70), E70*C70, "")</f>
        <v/>
      </c>
      <c r="G70" s="133">
        <f>IF(OR(ISBLANK(F70), NOT(ISNUMBER(F70))), "", F70 * 0.12)</f>
        <v/>
      </c>
      <c r="H70" s="133">
        <f>IF(OR(ISBLANK(G70), NOT(ISNUMBER(G70))), "", F70+G70)</f>
        <v/>
      </c>
      <c r="I70" s="136">
        <f>$C$2</f>
        <v/>
      </c>
      <c r="J70" s="137">
        <f>IF(AND(ISNUMBER(H70), I70&lt;1), H70/(1-I70), "")</f>
        <v/>
      </c>
      <c r="L70" s="171" t="n"/>
      <c r="M70" s="49" t="n"/>
    </row>
    <row r="71" ht="15.75" customHeight="1" s="345">
      <c r="A71" s="347" t="n"/>
      <c r="B71" s="132" t="inlineStr">
        <is>
          <t>F2F Facilitation Tier 1 (EM) - Full day</t>
        </is>
      </c>
      <c r="C71" s="133" t="n">
        <v>3000</v>
      </c>
      <c r="D71" s="134" t="inlineStr">
        <is>
          <t>Per session</t>
        </is>
      </c>
      <c r="E71" s="135" t="n"/>
      <c r="F71" s="133">
        <f>IF(ISNUMBER(E71), E71*C71, "")</f>
        <v/>
      </c>
      <c r="G71" s="133">
        <f>IF(OR(ISBLANK(F71), NOT(ISNUMBER(F71))), "", F71 * 0.12)</f>
        <v/>
      </c>
      <c r="H71" s="133">
        <f>IF(OR(ISBLANK(G71), NOT(ISNUMBER(G71))), "", F71+G71)</f>
        <v/>
      </c>
      <c r="I71" s="136">
        <f>$C$2</f>
        <v/>
      </c>
      <c r="J71" s="137">
        <f>IF(AND(ISNUMBER(H71), I71&lt;1), H71/(1-I71), "")</f>
        <v/>
      </c>
      <c r="L71" s="171" t="n"/>
      <c r="M71" s="49" t="n"/>
    </row>
    <row r="72" ht="15.75" customHeight="1" s="345">
      <c r="A72" s="347" t="n"/>
      <c r="B72" s="132" t="inlineStr">
        <is>
          <t>F2F Facilitation Tier 2 (EM) - Full day</t>
        </is>
      </c>
      <c r="C72" s="175" t="n">
        <v>2000</v>
      </c>
      <c r="D72" s="134" t="inlineStr">
        <is>
          <t>Per session</t>
        </is>
      </c>
      <c r="E72" s="135" t="n"/>
      <c r="F72" s="133">
        <f>IF(ISNUMBER(E72), E72*C72, "")</f>
        <v/>
      </c>
      <c r="G72" s="133">
        <f>IF(OR(ISBLANK(F72), NOT(ISNUMBER(F72))), "", F72 * 0.12)</f>
        <v/>
      </c>
      <c r="H72" s="133">
        <f>IF(OR(ISBLANK(G72), NOT(ISNUMBER(G72))), "", F72+G72)</f>
        <v/>
      </c>
      <c r="I72" s="136">
        <f>$C$2</f>
        <v/>
      </c>
      <c r="J72" s="137">
        <f>IF(AND(ISNUMBER(H72), I72&lt;1), H72/(1-I72), "")</f>
        <v/>
      </c>
      <c r="L72" s="171" t="n"/>
      <c r="M72" s="49" t="n"/>
    </row>
    <row r="73" ht="15.75" customHeight="1" s="345">
      <c r="A73" s="347" t="n"/>
      <c r="B73" s="176" t="inlineStr">
        <is>
          <t>Overnight Travel Stipend - up to 4 timzones</t>
        </is>
      </c>
      <c r="C73" s="133" t="n">
        <v>500</v>
      </c>
      <c r="D73" s="134" t="inlineStr">
        <is>
          <t>Per trip</t>
        </is>
      </c>
      <c r="E73" s="135" t="n"/>
      <c r="F73" s="133">
        <f>IF(ISNUMBER(E73), E73*C73, "")</f>
        <v/>
      </c>
      <c r="G73" s="133">
        <f>IF(OR(ISBLANK(F73), NOT(ISNUMBER(F73))), "", 0)</f>
        <v/>
      </c>
      <c r="H73" s="133">
        <f>IF(OR(ISBLANK(G73), NOT(ISNUMBER(G73))), "", F73+G73)</f>
        <v/>
      </c>
      <c r="I73" s="136" t="n">
        <v>0</v>
      </c>
      <c r="J73" s="137">
        <f>IF(AND(ISNUMBER(H73), I73&lt;1), H73/(1-I73), "")</f>
        <v/>
      </c>
      <c r="K73" s="47" t="inlineStr">
        <is>
          <t>Project mgmt fees do not apply; no margin applied</t>
        </is>
      </c>
      <c r="L73" s="171" t="n"/>
      <c r="M73" s="49" t="n"/>
    </row>
    <row r="74" ht="15.75" customHeight="1" s="345">
      <c r="A74" s="347" t="n"/>
      <c r="B74" s="176" t="inlineStr">
        <is>
          <t>Overnight Travel Stipend - 4 or more timezones</t>
        </is>
      </c>
      <c r="C74" s="133" t="n">
        <v>1000</v>
      </c>
      <c r="D74" s="134" t="inlineStr">
        <is>
          <t>Per trip</t>
        </is>
      </c>
      <c r="E74" s="135" t="n"/>
      <c r="F74" s="133">
        <f>IF(ISNUMBER(E74), E74*C74, "")</f>
        <v/>
      </c>
      <c r="G74" s="133">
        <f>IF(OR(ISBLANK(F74), NOT(ISNUMBER(F74))), "", 0)</f>
        <v/>
      </c>
      <c r="H74" s="133">
        <f>IF(OR(ISBLANK(G74), NOT(ISNUMBER(G74))), "", F74+G74)</f>
        <v/>
      </c>
      <c r="I74" s="136" t="n">
        <v>0</v>
      </c>
      <c r="J74" s="137">
        <f>IF(AND(ISNUMBER(H74), I74&lt;1), H74/(1-I74), "")</f>
        <v/>
      </c>
      <c r="K74" s="47" t="inlineStr">
        <is>
          <t>Project mgmt fees do not apply,; no margin applied</t>
        </is>
      </c>
      <c r="L74" s="171" t="n"/>
      <c r="M74" s="49" t="n"/>
    </row>
    <row r="75" ht="15.75" customHeight="1" s="345">
      <c r="A75" s="347" t="n"/>
      <c r="B75" s="176" t="inlineStr">
        <is>
          <t>Group Coaching (new pricing)</t>
        </is>
      </c>
      <c r="C75" s="133" t="n">
        <v>1500</v>
      </c>
      <c r="D75" s="134" t="inlineStr">
        <is>
          <t>Per session</t>
        </is>
      </c>
      <c r="E75" s="135" t="n"/>
      <c r="F75" s="133">
        <f>IF(ISNUMBER(E75), E75*C75, "")</f>
        <v/>
      </c>
      <c r="G75" s="133">
        <f>IF(OR(ISBLANK(F75), NOT(ISNUMBER(F75))), "", F75 * 0.12)</f>
        <v/>
      </c>
      <c r="H75" s="133">
        <f>IF(OR(ISBLANK(G75), NOT(ISNUMBER(G75))), "", F75+G75)</f>
        <v/>
      </c>
      <c r="I75" s="136">
        <f>$C$2</f>
        <v/>
      </c>
      <c r="J75" s="137">
        <f>IF(AND(ISNUMBER(H75), I75&lt;1), H75/(1-I75), "")</f>
        <v/>
      </c>
      <c r="K75" s="47" t="inlineStr">
        <is>
          <t>Changed client price to $5000</t>
        </is>
      </c>
      <c r="L75" s="171" t="n">
        <v>3750</v>
      </c>
      <c r="M75" s="49">
        <f>L75*0.3</f>
        <v/>
      </c>
    </row>
    <row r="76" ht="15.75" customHeight="1" s="345">
      <c r="A76" s="347" t="n"/>
      <c r="B76" s="177" t="inlineStr">
        <is>
          <t>Assessment Group Debrief (new pricing)</t>
        </is>
      </c>
      <c r="C76" s="139" t="n">
        <v>1200</v>
      </c>
      <c r="D76" s="140" t="inlineStr">
        <is>
          <t>Per session</t>
        </is>
      </c>
      <c r="E76" s="141" t="n"/>
      <c r="F76" s="139">
        <f>IF(ISNUMBER(E76), E76*C76, "")</f>
        <v/>
      </c>
      <c r="G76" s="139">
        <f>IF(OR(ISBLANK(F76), NOT(ISNUMBER(F76))), "", F76 * 0.12)</f>
        <v/>
      </c>
      <c r="H76" s="139">
        <f>IF(OR(ISBLANK(G76), NOT(ISNUMBER(G76))), "", F76+G76)</f>
        <v/>
      </c>
      <c r="I76" s="178">
        <f>$C$2</f>
        <v/>
      </c>
      <c r="J76" s="179">
        <f>IF(AND(ISNUMBER(H76), I76&lt;1), H76/(1-I76), "")</f>
        <v/>
      </c>
      <c r="K76" s="47" t="n"/>
      <c r="L76" s="119" t="n"/>
      <c r="M76" s="49" t="n"/>
    </row>
    <row r="77" ht="15.75" customHeight="1" s="345">
      <c r="A77" s="347" t="n"/>
      <c r="B77" s="180" t="inlineStr">
        <is>
          <t>LICENSING</t>
        </is>
      </c>
      <c r="C77" s="181" t="n"/>
      <c r="D77" s="182" t="n"/>
      <c r="E77" s="182" t="n"/>
      <c r="F77" s="181" t="n"/>
      <c r="G77" s="181" t="n"/>
      <c r="H77" s="181" t="n"/>
      <c r="I77" s="183" t="n"/>
      <c r="J77" s="184" t="n"/>
    </row>
    <row r="78" ht="15.75" customHeight="1" s="345">
      <c r="A78" s="347" t="n"/>
      <c r="B78" s="185" t="n"/>
      <c r="C78" s="186" t="inlineStr">
        <is>
          <t>PRICE/MODULE</t>
        </is>
      </c>
      <c r="D78" s="187" t="inlineStr">
        <is>
          <t># OF MODULES</t>
        </is>
      </c>
      <c r="E78" s="187" t="inlineStr">
        <is>
          <t># OF LEARNERS</t>
        </is>
      </c>
      <c r="F78" s="188" t="n"/>
      <c r="G78" s="188" t="n"/>
      <c r="H78" s="188" t="n"/>
      <c r="I78" s="189" t="n"/>
      <c r="J78" s="190" t="n"/>
    </row>
    <row r="79" ht="15.75" customHeight="1" s="345">
      <c r="A79" s="347" t="n"/>
      <c r="B79" s="156" t="inlineStr">
        <is>
          <t>Licensing</t>
        </is>
      </c>
      <c r="C79" s="157" t="n">
        <v>50</v>
      </c>
      <c r="D79" s="159" t="n">
        <v>6</v>
      </c>
      <c r="E79" s="159" t="n"/>
      <c r="F79" s="139">
        <f>C79*D79*E79</f>
        <v/>
      </c>
      <c r="G79" s="139" t="n">
        <v>0</v>
      </c>
      <c r="H79" s="139">
        <f>IF(OR(ISBLANK(G79), NOT(ISNUMBER(G79))), "", F79+G79)</f>
        <v/>
      </c>
      <c r="I79" s="160" t="n">
        <v>0</v>
      </c>
      <c r="J79" s="161">
        <f>IF(AND(ISNUMBER(H79), I79&lt;1), H79/(1-I79), "")</f>
        <v/>
      </c>
    </row>
    <row r="80" ht="15.75" customHeight="1" s="345">
      <c r="A80" s="347" t="n"/>
      <c r="B80" s="162" t="inlineStr">
        <is>
          <t>LD FACILITATION AND LICENSING TOTAL:</t>
        </is>
      </c>
      <c r="C80" s="163" t="n"/>
      <c r="D80" s="164" t="n"/>
      <c r="E80" s="191" t="n"/>
      <c r="F80" s="192">
        <f>SUM(F61:F79)</f>
        <v/>
      </c>
      <c r="G80" s="192">
        <f>SUM(G61:G79)</f>
        <v/>
      </c>
      <c r="H80" s="192">
        <f>SUM(H61:H79)</f>
        <v/>
      </c>
      <c r="I80" s="193" t="n"/>
      <c r="J80" s="166">
        <f>SUM(J61:J79)</f>
        <v/>
      </c>
    </row>
    <row r="81" ht="15.75" customHeight="1" s="345">
      <c r="A81" s="347" t="n"/>
      <c r="B81" s="121" t="inlineStr">
        <is>
          <t>TEAM EFFECTIVENESS</t>
        </is>
      </c>
      <c r="C81" s="122" t="n"/>
      <c r="D81" s="123" t="n"/>
      <c r="E81" s="123" t="n"/>
      <c r="F81" s="194" t="n"/>
      <c r="G81" s="194" t="n"/>
      <c r="H81" s="194" t="n"/>
      <c r="I81" s="124" t="n"/>
      <c r="J81" s="125" t="n"/>
    </row>
    <row r="82" ht="15.75" customHeight="1" s="345">
      <c r="A82" s="347" t="n"/>
      <c r="B82" s="138" t="inlineStr">
        <is>
          <t>TE Perspectives - half day (1 coach)</t>
        </is>
      </c>
      <c r="C82" s="139" t="n">
        <v>5887.5</v>
      </c>
      <c r="D82" s="140" t="inlineStr">
        <is>
          <t>Per team</t>
        </is>
      </c>
      <c r="E82" s="141" t="n"/>
      <c r="F82" s="133">
        <f>IF(ISNUMBER(E82), E82*C82, "")</f>
        <v/>
      </c>
      <c r="G82" s="133">
        <f>IF(OR(ISBLANK(F82), NOT(ISNUMBER(F82))), "", F82 * 0.12)</f>
        <v/>
      </c>
      <c r="H82" s="133">
        <f>IF(OR(ISBLANK(G82), NOT(ISNUMBER(G82))), "", F82+G82)</f>
        <v/>
      </c>
      <c r="I82" s="136">
        <f>$C$2</f>
        <v/>
      </c>
      <c r="J82" s="137">
        <f>IF(AND(ISNUMBER(H82), I82&lt;1), H82/(1-I82), "")</f>
        <v/>
      </c>
    </row>
    <row r="83" ht="15.75" customHeight="1" s="345">
      <c r="A83" s="347" t="n"/>
      <c r="B83" s="138" t="inlineStr">
        <is>
          <t>TE Perspectives - full day (1 coach)</t>
        </is>
      </c>
      <c r="C83" s="139" t="n">
        <v>7312.5</v>
      </c>
      <c r="D83" s="140" t="inlineStr">
        <is>
          <t>Per team</t>
        </is>
      </c>
      <c r="E83" s="141" t="n"/>
      <c r="F83" s="133">
        <f>IF(ISNUMBER(E83), E83*C83, "")</f>
        <v/>
      </c>
      <c r="G83" s="133">
        <f>IF(OR(ISBLANK(F83), NOT(ISNUMBER(F83))), "", F83 * 0.12)</f>
        <v/>
      </c>
      <c r="H83" s="133">
        <f>IF(OR(ISBLANK(G83), NOT(ISNUMBER(G83))), "", F83+G83)</f>
        <v/>
      </c>
      <c r="I83" s="136">
        <f>$C$2</f>
        <v/>
      </c>
      <c r="J83" s="137">
        <f>IF(AND(ISNUMBER(H83), I83&lt;1), H83/(1-I83), "")</f>
        <v/>
      </c>
    </row>
    <row r="84" ht="15.75" customHeight="1" s="345">
      <c r="A84" s="347" t="n"/>
      <c r="B84" s="138" t="inlineStr">
        <is>
          <t>TE Perspectives - half day (2 coaches)</t>
        </is>
      </c>
      <c r="C84" s="139" t="n">
        <v>9637.5</v>
      </c>
      <c r="D84" s="140" t="inlineStr">
        <is>
          <t>Per team</t>
        </is>
      </c>
      <c r="E84" s="141" t="n"/>
      <c r="F84" s="133">
        <f>IF(ISNUMBER(E84), E84*C84, "")</f>
        <v/>
      </c>
      <c r="G84" s="133">
        <f>IF(OR(ISBLANK(F84), NOT(ISNUMBER(F84))), "", F84 * 0.12)</f>
        <v/>
      </c>
      <c r="H84" s="133">
        <f>IF(OR(ISBLANK(G84), NOT(ISNUMBER(G84))), "", F84+G84)</f>
        <v/>
      </c>
      <c r="I84" s="136">
        <f>$C$2</f>
        <v/>
      </c>
      <c r="J84" s="137">
        <f>IF(AND(ISNUMBER(H84), I84&lt;1), H84/(1-I84), "")</f>
        <v/>
      </c>
    </row>
    <row r="85" ht="15.75" customHeight="1" s="345">
      <c r="A85" s="347" t="n"/>
      <c r="B85" s="138" t="inlineStr">
        <is>
          <t>TE Perspectives - full day (2 coaches)</t>
        </is>
      </c>
      <c r="C85" s="139" t="n">
        <v>12337.5</v>
      </c>
      <c r="D85" s="140" t="inlineStr">
        <is>
          <t>Per team</t>
        </is>
      </c>
      <c r="E85" s="141" t="n"/>
      <c r="F85" s="133">
        <f>IF(ISNUMBER(E85), E85*C85, "")</f>
        <v/>
      </c>
      <c r="G85" s="133">
        <f>IF(OR(ISBLANK(F85), NOT(ISNUMBER(F85))), "", F85 * 0.12)</f>
        <v/>
      </c>
      <c r="H85" s="133">
        <f>IF(OR(ISBLANK(G85), NOT(ISNUMBER(G85))), "", F85+G85)</f>
        <v/>
      </c>
      <c r="I85" s="136">
        <f>$C$2</f>
        <v/>
      </c>
      <c r="J85" s="137">
        <f>IF(AND(ISNUMBER(H85), I85&lt;1), H85/(1-I85), "")</f>
        <v/>
      </c>
    </row>
    <row r="86" ht="15.75" customHeight="1" s="345">
      <c r="A86" s="347" t="n"/>
      <c r="B86" s="138" t="inlineStr">
        <is>
          <t>TE Roadmap (1 coach)</t>
        </is>
      </c>
      <c r="C86" s="139" t="n">
        <v>15825</v>
      </c>
      <c r="D86" s="140" t="inlineStr">
        <is>
          <t>Per team</t>
        </is>
      </c>
      <c r="E86" s="141" t="n"/>
      <c r="F86" s="133">
        <f>IF(ISNUMBER(E86), E86*C86, "")</f>
        <v/>
      </c>
      <c r="G86" s="133">
        <f>IF(OR(ISBLANK(F86), NOT(ISNUMBER(F86))), "", F86 * 0.12)</f>
        <v/>
      </c>
      <c r="H86" s="133">
        <f>IF(OR(ISBLANK(G86), NOT(ISNUMBER(G86))), "", F86+G86)</f>
        <v/>
      </c>
      <c r="I86" s="136">
        <f>$C$2</f>
        <v/>
      </c>
      <c r="J86" s="137">
        <f>IF(AND(ISNUMBER(H86), I86&lt;1), H86/(1-I86), "")</f>
        <v/>
      </c>
    </row>
    <row r="87" ht="15.75" customHeight="1" s="345">
      <c r="A87" s="347" t="n"/>
      <c r="B87" s="138" t="inlineStr">
        <is>
          <t>TE Roadmap (2 coaches)</t>
        </is>
      </c>
      <c r="C87" s="139" t="n">
        <v>29475</v>
      </c>
      <c r="D87" s="140" t="inlineStr">
        <is>
          <t>Per team</t>
        </is>
      </c>
      <c r="E87" s="141" t="n"/>
      <c r="F87" s="133">
        <f>IF(ISNUMBER(E87), E87*C87, "")</f>
        <v/>
      </c>
      <c r="G87" s="133">
        <f>IF(OR(ISBLANK(F87), NOT(ISNUMBER(F87))), "", F87 * 0.12)</f>
        <v/>
      </c>
      <c r="H87" s="133">
        <f>IF(OR(ISBLANK(G87), NOT(ISNUMBER(G87))), "", F87+G87)</f>
        <v/>
      </c>
      <c r="I87" s="136">
        <f>$C$2</f>
        <v/>
      </c>
      <c r="J87" s="137">
        <f>IF(AND(ISNUMBER(H87), I87&lt;1), H87/(1-I87), "")</f>
        <v/>
      </c>
    </row>
    <row r="88" ht="15.75" customHeight="1" s="345">
      <c r="A88" s="347" t="n"/>
      <c r="B88" s="138" t="inlineStr">
        <is>
          <t>TE Ignite (1 coach)</t>
        </is>
      </c>
      <c r="C88" s="139" t="n">
        <v>21930</v>
      </c>
      <c r="D88" s="140" t="inlineStr">
        <is>
          <t>Per team</t>
        </is>
      </c>
      <c r="E88" s="141" t="n"/>
      <c r="F88" s="133">
        <f>IF(ISNUMBER(E88), E88*C88, "")</f>
        <v/>
      </c>
      <c r="G88" s="133">
        <f>IF(OR(ISBLANK(F88), NOT(ISNUMBER(F88))), "", F88 * 0.12)</f>
        <v/>
      </c>
      <c r="H88" s="133">
        <f>IF(OR(ISBLANK(G88), NOT(ISNUMBER(G88))), "", F88+G88)</f>
        <v/>
      </c>
      <c r="I88" s="136">
        <f>$C$2</f>
        <v/>
      </c>
      <c r="J88" s="137">
        <f>IF(AND(ISNUMBER(H88), I88&lt;1), H88/(1-I88), "")</f>
        <v/>
      </c>
    </row>
    <row r="89" ht="15.75" customHeight="1" s="345">
      <c r="A89" s="347" t="n"/>
      <c r="B89" s="138" t="inlineStr">
        <is>
          <t>TE Ignite (2 coaches)</t>
        </is>
      </c>
      <c r="C89" s="139" t="n">
        <v>39705</v>
      </c>
      <c r="D89" s="140" t="inlineStr">
        <is>
          <t>Per team</t>
        </is>
      </c>
      <c r="E89" s="141" t="n"/>
      <c r="F89" s="133">
        <f>IF(ISNUMBER(E89), E89*C89, "")</f>
        <v/>
      </c>
      <c r="G89" s="133">
        <f>IF(OR(ISBLANK(F89), NOT(ISNUMBER(F89))), "", F89 * 0.12)</f>
        <v/>
      </c>
      <c r="H89" s="133">
        <f>IF(OR(ISBLANK(G89), NOT(ISNUMBER(G89))), "", F89+G89)</f>
        <v/>
      </c>
      <c r="I89" s="136">
        <f>$C$2</f>
        <v/>
      </c>
      <c r="J89" s="137">
        <f>IF(AND(ISNUMBER(H89), I89&lt;1), H89/(1-I89), "")</f>
        <v/>
      </c>
    </row>
    <row r="90" ht="15.75" customHeight="1" s="345">
      <c r="A90" s="347" t="n"/>
      <c r="B90" s="138" t="inlineStr">
        <is>
          <t>Additional Team Coaching (1/2 day, 1 coach)</t>
        </is>
      </c>
      <c r="C90" s="139" t="n">
        <v>2400</v>
      </c>
      <c r="D90" s="140" t="inlineStr">
        <is>
          <t>Flat fee</t>
        </is>
      </c>
      <c r="E90" s="141" t="n"/>
      <c r="F90" s="133">
        <f>IF(ISNUMBER(E90), E90*C90, "")</f>
        <v/>
      </c>
      <c r="G90" s="133">
        <f>IF(OR(ISBLANK(F90), NOT(ISNUMBER(F90))), "", F90 * 0.12)</f>
        <v/>
      </c>
      <c r="H90" s="133">
        <f>IF(OR(ISBLANK(G90), NOT(ISNUMBER(G90))), "", F90+G90)</f>
        <v/>
      </c>
      <c r="I90" s="136">
        <f>$C$2</f>
        <v/>
      </c>
      <c r="J90" s="137">
        <f>IF(AND(ISNUMBER(H90), I90&lt;1), H90/(1-I90), "")</f>
        <v/>
      </c>
      <c r="K90" s="195" t="inlineStr">
        <is>
          <t>Team Insight Session*</t>
        </is>
      </c>
    </row>
    <row r="91" ht="15.75" customHeight="1" s="345">
      <c r="A91" s="347" t="n"/>
      <c r="B91" s="138" t="inlineStr">
        <is>
          <t>Additional Team Coaching (Full day, 1 coach)</t>
        </is>
      </c>
      <c r="C91" s="139" t="n">
        <v>4000</v>
      </c>
      <c r="D91" s="140" t="inlineStr">
        <is>
          <t>Flat fee</t>
        </is>
      </c>
      <c r="E91" s="141" t="n"/>
      <c r="F91" s="133">
        <f>IF(ISNUMBER(E91), E91*C91, "")</f>
        <v/>
      </c>
      <c r="G91" s="133">
        <f>IF(OR(ISBLANK(F91), NOT(ISNUMBER(F91))), "", F91 * 0.12)</f>
        <v/>
      </c>
      <c r="H91" s="133">
        <f>IF(OR(ISBLANK(G91), NOT(ISNUMBER(G91))), "", F91+G91)</f>
        <v/>
      </c>
      <c r="I91" s="136">
        <f>$C$2</f>
        <v/>
      </c>
      <c r="J91" s="137">
        <f>IF(AND(ISNUMBER(H91), I91&lt;1), H91/(1-I91), "")</f>
        <v/>
      </c>
      <c r="K91" s="195" t="inlineStr">
        <is>
          <t>Team Insight Session*</t>
        </is>
      </c>
    </row>
    <row r="92" ht="15.75" customHeight="1" s="345">
      <c r="A92" s="347" t="n"/>
      <c r="B92" s="138" t="inlineStr">
        <is>
          <t>Additional Team Coaching (2 hrs)</t>
        </is>
      </c>
      <c r="C92" s="139" t="n">
        <v>2400</v>
      </c>
      <c r="D92" s="140" t="inlineStr">
        <is>
          <t>Flat fee</t>
        </is>
      </c>
      <c r="E92" s="141" t="n"/>
      <c r="F92" s="133">
        <f>IF(ISNUMBER(E92), E92*C92, "")</f>
        <v/>
      </c>
      <c r="G92" s="133">
        <f>IF(OR(ISBLANK(F92), NOT(ISNUMBER(F92))), "", F92 * 0.12)</f>
        <v/>
      </c>
      <c r="H92" s="133">
        <f>IF(OR(ISBLANK(G92), NOT(ISNUMBER(G92))), "", F92+G92)</f>
        <v/>
      </c>
      <c r="I92" s="136">
        <f>$C$2</f>
        <v/>
      </c>
      <c r="J92" s="137">
        <f>IF(AND(ISNUMBER(H92), I92&lt;1), H92/(1-I92), "")</f>
        <v/>
      </c>
    </row>
    <row r="93" ht="15.75" customHeight="1" s="345">
      <c r="A93" s="347" t="n"/>
      <c r="B93" s="196" t="inlineStr">
        <is>
          <t>Additional Team Leader Meeting</t>
        </is>
      </c>
      <c r="C93" s="197" t="n">
        <v>2400</v>
      </c>
      <c r="D93" s="198" t="inlineStr">
        <is>
          <t>Flat fee</t>
        </is>
      </c>
      <c r="E93" s="199" t="n"/>
      <c r="F93" s="200">
        <f>IF(ISNUMBER(E93), E93*C93, "")</f>
        <v/>
      </c>
      <c r="G93" s="200">
        <f>IF(OR(ISBLANK(F93), NOT(ISNUMBER(F93))), "", F93 * 0.12)</f>
        <v/>
      </c>
      <c r="H93" s="200">
        <f>IF(OR(ISBLANK(G93), NOT(ISNUMBER(G93))), "", F93+G93)</f>
        <v/>
      </c>
      <c r="I93" s="201">
        <f>$C$2</f>
        <v/>
      </c>
      <c r="J93" s="202">
        <f>IF(AND(ISNUMBER(H93), I93&lt;1), H93/(1-I93), "")</f>
        <v/>
      </c>
    </row>
    <row r="94" ht="15.75" customHeight="1" s="345">
      <c r="A94" s="347" t="n"/>
      <c r="B94" s="196" t="inlineStr">
        <is>
          <t>Individual Assessment Debrief (60 min)</t>
        </is>
      </c>
      <c r="C94" s="197" t="n">
        <v>390</v>
      </c>
      <c r="D94" s="198" t="inlineStr">
        <is>
          <t>Flat fee</t>
        </is>
      </c>
      <c r="E94" s="199" t="n"/>
      <c r="F94" s="200">
        <f>IF(ISNUMBER(E94), E94*C94, "")</f>
        <v/>
      </c>
      <c r="G94" s="200">
        <f>IF(OR(ISBLANK(F94), NOT(ISNUMBER(F94))), "", F94 * 0.12)</f>
        <v/>
      </c>
      <c r="H94" s="200">
        <f>IF(OR(ISBLANK(G94), NOT(ISNUMBER(G94))), "", F94+G94)</f>
        <v/>
      </c>
      <c r="I94" s="201">
        <f>$C$2</f>
        <v/>
      </c>
      <c r="J94" s="202">
        <f>IF(AND(ISNUMBER(H94), I94&lt;1), H94/(1-I94), "")</f>
        <v/>
      </c>
    </row>
    <row r="95" ht="15.75" customHeight="1" s="345">
      <c r="A95" s="347" t="n"/>
      <c r="B95" s="203" t="inlineStr">
        <is>
          <t>TE CZ Fee</t>
        </is>
      </c>
      <c r="C95" s="204" t="n">
        <v>70</v>
      </c>
      <c r="D95" s="140" t="inlineStr">
        <is>
          <t>Per person</t>
        </is>
      </c>
      <c r="E95" s="141" t="n"/>
      <c r="F95" s="133">
        <f>IF(ISNUMBER(E95), E95*C95, "")</f>
        <v/>
      </c>
      <c r="G95" s="133">
        <f>IF(OR(ISBLANK(F95), NOT(ISNUMBER(F95))), "", F95 * 0.12)</f>
        <v/>
      </c>
      <c r="H95" s="133">
        <f>IF(OR(ISBLANK(G95), NOT(ISNUMBER(G95))), "", F95+G95)</f>
        <v/>
      </c>
      <c r="I95" s="136" t="n">
        <v>0</v>
      </c>
      <c r="J95" s="137">
        <f>IF(AND(ISNUMBER(H95), I95&lt;1), H95/(1-I95), "")</f>
        <v/>
      </c>
    </row>
    <row r="96" ht="15.75" customHeight="1" s="345">
      <c r="A96" s="347" t="n"/>
      <c r="B96" s="162" t="inlineStr">
        <is>
          <t>TEAM EFFECTIVENESS TOTAL:</t>
        </is>
      </c>
      <c r="C96" s="163" t="n"/>
      <c r="D96" s="164" t="n"/>
      <c r="E96" s="164" t="n"/>
      <c r="F96" s="163">
        <f>SUM(F82:F89)</f>
        <v/>
      </c>
      <c r="G96" s="163">
        <f>SUM(G82:G89)</f>
        <v/>
      </c>
      <c r="H96" s="163">
        <f>SUM(H82:H89)</f>
        <v/>
      </c>
      <c r="I96" s="165" t="n"/>
      <c r="J96" s="166">
        <f>SUM(J82:J89)</f>
        <v/>
      </c>
    </row>
    <row r="97" ht="15.75" customHeight="1" s="345">
      <c r="A97" s="347" t="n"/>
      <c r="B97" s="205" t="inlineStr">
        <is>
          <t>EXECUTIVE COACHING</t>
        </is>
      </c>
      <c r="C97" s="206" t="n"/>
      <c r="D97" s="207" t="n"/>
      <c r="E97" s="207" t="n"/>
      <c r="F97" s="206" t="n"/>
      <c r="G97" s="206" t="n"/>
      <c r="H97" s="206" t="n"/>
      <c r="I97" s="208" t="n"/>
      <c r="J97" s="209" t="n"/>
    </row>
    <row r="98" ht="15.75" customHeight="1" s="345">
      <c r="A98" s="347" t="n"/>
      <c r="B98" s="210" t="inlineStr">
        <is>
          <t>ROADMAP</t>
        </is>
      </c>
      <c r="C98" s="133">
        <f>'Coaching Calculator'!B5</f>
        <v/>
      </c>
      <c r="D98" s="134" t="inlineStr">
        <is>
          <t>Per person</t>
        </is>
      </c>
      <c r="E98" s="211">
        <f>'Coaching Calculator'!D5</f>
        <v/>
      </c>
      <c r="F98" s="133">
        <f>'Coaching Calculator'!E5</f>
        <v/>
      </c>
      <c r="G98" s="133">
        <f>'Coaching Calculator'!F5</f>
        <v/>
      </c>
      <c r="H98" s="133">
        <f>'Coaching Calculator'!G5</f>
        <v/>
      </c>
      <c r="I98" s="136">
        <f>'Coaching Calculator'!H5</f>
        <v/>
      </c>
      <c r="J98" s="137">
        <f>'Coaching Calculator'!I5</f>
        <v/>
      </c>
    </row>
    <row r="99" ht="15.75" customHeight="1" s="345">
      <c r="A99" s="347" t="n"/>
      <c r="B99" s="210" t="inlineStr">
        <is>
          <t>IGNITE</t>
        </is>
      </c>
      <c r="C99" s="133">
        <f>'Coaching Calculator'!B6</f>
        <v/>
      </c>
      <c r="D99" s="134" t="inlineStr">
        <is>
          <t>Per person</t>
        </is>
      </c>
      <c r="E99" s="211">
        <f>'Coaching Calculator'!D6</f>
        <v/>
      </c>
      <c r="F99" s="133">
        <f>'Coaching Calculator'!E6</f>
        <v/>
      </c>
      <c r="G99" s="133">
        <f>'Coaching Calculator'!F6</f>
        <v/>
      </c>
      <c r="H99" s="133">
        <f>'Coaching Calculator'!G6</f>
        <v/>
      </c>
      <c r="I99" s="136">
        <f>'Coaching Calculator'!H6</f>
        <v/>
      </c>
      <c r="J99" s="137">
        <f>'Coaching Calculator'!I6</f>
        <v/>
      </c>
    </row>
    <row r="100" ht="15.75" customHeight="1" s="345">
      <c r="A100" s="347" t="n"/>
      <c r="B100" s="210" t="inlineStr">
        <is>
          <t>ASCENT</t>
        </is>
      </c>
      <c r="C100" s="133">
        <f>'Coaching Calculator'!B7</f>
        <v/>
      </c>
      <c r="D100" s="134" t="inlineStr">
        <is>
          <t>Per person</t>
        </is>
      </c>
      <c r="E100" s="211">
        <f>'Coaching Calculator'!D7</f>
        <v/>
      </c>
      <c r="F100" s="133">
        <f>'Coaching Calculator'!E7</f>
        <v/>
      </c>
      <c r="G100" s="133">
        <f>'Coaching Calculator'!F7</f>
        <v/>
      </c>
      <c r="H100" s="133">
        <f>'Coaching Calculator'!G7</f>
        <v/>
      </c>
      <c r="I100" s="136">
        <f>'Coaching Calculator'!H7</f>
        <v/>
      </c>
      <c r="J100" s="137">
        <f>'Coaching Calculator'!I7</f>
        <v/>
      </c>
    </row>
    <row r="101" ht="15.75" customHeight="1" s="345">
      <c r="A101" s="347" t="n"/>
      <c r="B101" s="210" t="inlineStr">
        <is>
          <t>SPARK 1</t>
        </is>
      </c>
      <c r="C101" s="133">
        <f>'Coaching Calculator'!B8</f>
        <v/>
      </c>
      <c r="D101" s="134" t="inlineStr">
        <is>
          <t>Per person</t>
        </is>
      </c>
      <c r="E101" s="211">
        <f>'Coaching Calculator'!D8</f>
        <v/>
      </c>
      <c r="F101" s="133">
        <f>'Coaching Calculator'!E8</f>
        <v/>
      </c>
      <c r="G101" s="133">
        <f>'Coaching Calculator'!F8</f>
        <v/>
      </c>
      <c r="H101" s="133">
        <f>'Coaching Calculator'!G8</f>
        <v/>
      </c>
      <c r="I101" s="136">
        <f>'Coaching Calculator'!H8</f>
        <v/>
      </c>
      <c r="J101" s="137">
        <f>'Coaching Calculator'!I8</f>
        <v/>
      </c>
    </row>
    <row r="102" ht="15.75" customHeight="1" s="345">
      <c r="A102" s="347" t="n"/>
      <c r="B102" s="212" t="inlineStr">
        <is>
          <t>SPARK 2</t>
        </is>
      </c>
      <c r="C102" s="133">
        <f>'Coaching Calculator'!B9</f>
        <v/>
      </c>
      <c r="D102" s="140" t="inlineStr">
        <is>
          <t>Per person</t>
        </is>
      </c>
      <c r="E102" s="211">
        <f>'Coaching Calculator'!D9</f>
        <v/>
      </c>
      <c r="F102" s="133">
        <f>'Coaching Calculator'!E9</f>
        <v/>
      </c>
      <c r="G102" s="133">
        <f>'Coaching Calculator'!F9</f>
        <v/>
      </c>
      <c r="H102" s="133">
        <f>'Coaching Calculator'!G9</f>
        <v/>
      </c>
      <c r="I102" s="136">
        <f>'Coaching Calculator'!H9</f>
        <v/>
      </c>
      <c r="J102" s="137">
        <f>'Coaching Calculator'!I9</f>
        <v/>
      </c>
    </row>
    <row r="103" ht="15.75" customHeight="1" s="345">
      <c r="A103" s="347" t="n"/>
      <c r="B103" s="213" t="inlineStr">
        <is>
          <t>AIIR Vista (6 months)</t>
        </is>
      </c>
      <c r="C103" s="133">
        <f>'Coaching Calculator'!B10</f>
        <v/>
      </c>
      <c r="D103" s="214" t="inlineStr">
        <is>
          <t>Per person</t>
        </is>
      </c>
      <c r="E103" s="211">
        <f>'Coaching Calculator'!D10</f>
        <v/>
      </c>
      <c r="F103" s="133">
        <f>'Coaching Calculator'!E10</f>
        <v/>
      </c>
      <c r="G103" s="133">
        <f>'Coaching Calculator'!F10</f>
        <v/>
      </c>
      <c r="H103" s="133">
        <f>'Coaching Calculator'!G10</f>
        <v/>
      </c>
      <c r="I103" s="136">
        <f>'Coaching Calculator'!H10</f>
        <v/>
      </c>
      <c r="J103" s="137">
        <f>'Coaching Calculator'!I10</f>
        <v/>
      </c>
    </row>
    <row r="104" ht="15.75" customHeight="1" s="345">
      <c r="A104" s="347" t="n"/>
      <c r="B104" s="215" t="inlineStr">
        <is>
          <t>AIIR Vista (12 months)</t>
        </is>
      </c>
      <c r="C104" s="157">
        <f>'Coaching Calculator'!B11</f>
        <v/>
      </c>
      <c r="D104" s="216" t="inlineStr">
        <is>
          <t>Per person</t>
        </is>
      </c>
      <c r="E104" s="217">
        <f>'Coaching Calculator'!D11</f>
        <v/>
      </c>
      <c r="F104" s="157">
        <f>'Coaching Calculator'!E11</f>
        <v/>
      </c>
      <c r="G104" s="157">
        <f>'Coaching Calculator'!F11</f>
        <v/>
      </c>
      <c r="H104" s="157">
        <f>'Coaching Calculator'!G11</f>
        <v/>
      </c>
      <c r="I104" s="160">
        <f>'Coaching Calculator'!H11</f>
        <v/>
      </c>
      <c r="J104" s="161">
        <f>'Coaching Calculator'!I11</f>
        <v/>
      </c>
    </row>
    <row r="105" ht="15.75" customHeight="1" s="345">
      <c r="A105" s="348" t="n"/>
      <c r="B105" s="218" t="inlineStr">
        <is>
          <t>EXECUTIVE COACHING TOTAL:</t>
        </is>
      </c>
      <c r="C105" s="163" t="n"/>
      <c r="D105" s="164" t="n"/>
      <c r="E105" s="164" t="n"/>
      <c r="F105" s="163">
        <f>SUM(F98:F104)</f>
        <v/>
      </c>
      <c r="G105" s="163">
        <f>SUM(G98:G104)</f>
        <v/>
      </c>
      <c r="H105" s="163">
        <f>SUM(H98:H104)</f>
        <v/>
      </c>
      <c r="I105" s="163" t="n"/>
      <c r="J105" s="166">
        <f>SUM(J98:J104)</f>
        <v/>
      </c>
    </row>
    <row r="106" ht="15.75" customHeight="1" s="345">
      <c r="A106" s="219" t="n"/>
      <c r="B106" s="220" t="inlineStr">
        <is>
          <t>Delivery total:</t>
        </is>
      </c>
      <c r="C106" s="221" t="n"/>
      <c r="D106" s="222" t="n"/>
      <c r="E106" s="222" t="n"/>
      <c r="F106" s="221">
        <f>F59+F80+F96+F105</f>
        <v/>
      </c>
      <c r="G106" s="221">
        <f>G59+G80+G96+G105</f>
        <v/>
      </c>
      <c r="H106" s="221">
        <f>H59+H80+H96+H105</f>
        <v/>
      </c>
      <c r="I106" s="223" t="n"/>
      <c r="J106" s="221">
        <f>J59+J80+J96+J105</f>
        <v/>
      </c>
    </row>
    <row r="107" ht="15.75" customHeight="1" s="345"/>
    <row r="108" ht="15.75" customHeight="1" s="345"/>
    <row r="109" ht="15.75" customHeight="1" s="345">
      <c r="B109" s="1" t="inlineStr">
        <is>
          <t>Project Management Summary</t>
        </is>
      </c>
    </row>
    <row r="110" ht="15.75" customHeight="1" s="345">
      <c r="B110" s="224" t="inlineStr">
        <is>
          <t>PM Cost Rate:</t>
        </is>
      </c>
      <c r="C110" s="225" t="n">
        <v>73</v>
      </c>
      <c r="F110" s="49" t="n"/>
      <c r="G110" s="49" t="n"/>
      <c r="H110" s="49" t="n"/>
    </row>
    <row r="111" ht="15.75" customHeight="1" s="345">
      <c r="B111" s="226" t="inlineStr">
        <is>
          <t>Phase</t>
        </is>
      </c>
      <c r="C111" s="227" t="inlineStr">
        <is>
          <t>PM Allocation</t>
        </is>
      </c>
      <c r="D111" s="228" t="inlineStr">
        <is>
          <t>PM Hours Available</t>
        </is>
      </c>
      <c r="F111" s="49" t="n"/>
      <c r="G111" s="49" t="n"/>
      <c r="H111" s="49" t="n"/>
    </row>
    <row r="112" ht="15.75" customHeight="1" s="345">
      <c r="B112" s="229" t="inlineStr">
        <is>
          <t>DESIGN</t>
        </is>
      </c>
      <c r="C112" s="15">
        <f>G20</f>
        <v/>
      </c>
      <c r="D112" s="230">
        <f>C112/$C$110</f>
        <v/>
      </c>
      <c r="F112" s="118" t="n"/>
      <c r="G112" s="118" t="n"/>
      <c r="H112" s="118" t="n"/>
    </row>
    <row r="113" ht="15.75" customHeight="1" s="345">
      <c r="B113" s="229" t="inlineStr">
        <is>
          <t>DEVELOPMENT</t>
        </is>
      </c>
      <c r="C113" s="15">
        <f>G38</f>
        <v/>
      </c>
      <c r="D113" s="230">
        <f>C113/$C$110</f>
        <v/>
      </c>
    </row>
    <row r="114" ht="15.75" customHeight="1" s="345">
      <c r="B114" s="231" t="inlineStr">
        <is>
          <t>DELIVERY</t>
        </is>
      </c>
      <c r="C114" s="25">
        <f>G106</f>
        <v/>
      </c>
      <c r="D114" s="232">
        <f>C114/$C$110</f>
        <v/>
      </c>
    </row>
    <row r="115" ht="15.75" customHeight="1" s="345">
      <c r="B115" s="233" t="inlineStr">
        <is>
          <t>Totals:</t>
        </is>
      </c>
      <c r="C115" s="33">
        <f>SUM(C112:C114)</f>
        <v/>
      </c>
      <c r="D115" s="234">
        <f>SUM(D112:D114)</f>
        <v/>
      </c>
    </row>
    <row r="116" ht="15.75" customHeight="1" s="345"/>
    <row r="117" ht="15.75" customHeight="1" s="345"/>
    <row r="118" ht="15.75" customHeight="1" s="345"/>
    <row r="119" ht="15.75" customHeight="1" s="345"/>
    <row r="120" ht="15.75" customHeight="1" s="345"/>
    <row r="121" ht="15.75" customHeight="1" s="345"/>
    <row r="122" ht="15.75" customHeight="1" s="345"/>
    <row r="123" ht="15.75" customHeight="1" s="345"/>
    <row r="124" ht="15.75" customHeight="1" s="345"/>
    <row r="125" ht="15.75" customHeight="1" s="345"/>
    <row r="126" ht="15.75" customHeight="1" s="345"/>
    <row r="127" ht="15.75" customHeight="1" s="345"/>
    <row r="128" ht="15.75" customHeight="1" s="345"/>
    <row r="129" ht="15.75" customHeight="1" s="345"/>
    <row r="130" ht="15.75" customHeight="1" s="345"/>
    <row r="131" ht="15.75" customHeight="1" s="345"/>
    <row r="132" ht="15.75" customHeight="1" s="345"/>
    <row r="133" ht="15.75" customHeight="1" s="345"/>
    <row r="134" ht="15.75" customHeight="1" s="345"/>
    <row r="135" ht="15.75" customHeight="1" s="345"/>
    <row r="136" ht="15.75" customHeight="1" s="345"/>
    <row r="137" ht="15.75" customHeight="1" s="345"/>
    <row r="138" ht="15.75" customHeight="1" s="345"/>
    <row r="139" ht="15.75" customHeight="1" s="345"/>
    <row r="140" ht="15.75" customHeight="1" s="345"/>
    <row r="141" ht="15.75" customHeight="1" s="345"/>
    <row r="142" ht="15.75" customHeight="1" s="345"/>
    <row r="143" ht="15.75" customHeight="1" s="345"/>
    <row r="144" ht="15.75" customHeight="1" s="345"/>
    <row r="145" ht="15.75" customHeight="1" s="345"/>
    <row r="146" ht="15.75" customHeight="1" s="345"/>
    <row r="147" ht="15.75" customHeight="1" s="345"/>
    <row r="148" ht="15.75" customHeight="1" s="345"/>
    <row r="149" ht="15.75" customHeight="1" s="345"/>
    <row r="150" ht="15.75" customHeight="1" s="345"/>
    <row r="151" ht="15.75" customHeight="1" s="345"/>
    <row r="152" ht="15.75" customHeight="1" s="345"/>
    <row r="153" ht="15.75" customHeight="1" s="345"/>
    <row r="154" ht="15.75" customHeight="1" s="345"/>
    <row r="155" ht="15.75" customHeight="1" s="345"/>
    <row r="156" ht="15.75" customHeight="1" s="345"/>
    <row r="157" ht="15.75" customHeight="1" s="345"/>
    <row r="158" ht="15.75" customHeight="1" s="345"/>
    <row r="159" ht="15.75" customHeight="1" s="345"/>
    <row r="160" ht="15.75" customHeight="1" s="345"/>
    <row r="161" ht="15.75" customHeight="1" s="345"/>
    <row r="162" ht="15.75" customHeight="1" s="345"/>
    <row r="163" ht="15.75" customHeight="1" s="345"/>
    <row r="164" ht="15.75" customHeight="1" s="345"/>
    <row r="165" ht="15.75" customHeight="1" s="345"/>
    <row r="166" ht="15.75" customHeight="1" s="345"/>
    <row r="167" ht="15.75" customHeight="1" s="345"/>
    <row r="168" ht="15.75" customHeight="1" s="345"/>
    <row r="169" ht="15.75" customHeight="1" s="345"/>
    <row r="170" ht="15.75" customHeight="1" s="345"/>
    <row r="171" ht="15.75" customHeight="1" s="345"/>
    <row r="172" ht="15.75" customHeight="1" s="345"/>
    <row r="173" ht="15.75" customHeight="1" s="345"/>
    <row r="174" ht="15.75" customHeight="1" s="345"/>
    <row r="175" ht="15.75" customHeight="1" s="345"/>
    <row r="176" ht="15.75" customHeight="1" s="345"/>
    <row r="177" ht="15.75" customHeight="1" s="345"/>
    <row r="178" ht="15.75" customHeight="1" s="345"/>
    <row r="179" ht="15.75" customHeight="1" s="345"/>
    <row r="180" ht="15.75" customHeight="1" s="345"/>
    <row r="181" ht="15.75" customHeight="1" s="345"/>
    <row r="182" ht="15.75" customHeight="1" s="345"/>
    <row r="183" ht="15.75" customHeight="1" s="345"/>
    <row r="184" ht="15.75" customHeight="1" s="345"/>
    <row r="185" ht="15.75" customHeight="1" s="345"/>
    <row r="186" ht="15.75" customHeight="1" s="345"/>
    <row r="187" ht="15.75" customHeight="1" s="345"/>
    <row r="188" ht="15.75" customHeight="1" s="345"/>
    <row r="189" ht="15.75" customHeight="1" s="345"/>
    <row r="190" ht="15.75" customHeight="1" s="345"/>
    <row r="191" ht="15.75" customHeight="1" s="345"/>
    <row r="192" ht="15.75" customHeight="1" s="345"/>
    <row r="193" ht="15.75" customHeight="1" s="345"/>
    <row r="194" ht="15.75" customHeight="1" s="345"/>
    <row r="195" ht="15.75" customHeight="1" s="345"/>
    <row r="196" ht="15.75" customHeight="1" s="345"/>
    <row r="197" ht="15.75" customHeight="1" s="345"/>
    <row r="198" ht="15.75" customHeight="1" s="345"/>
    <row r="199" ht="15.75" customHeight="1" s="345"/>
    <row r="200" ht="15.75" customHeight="1" s="345"/>
    <row r="201" ht="15.75" customHeight="1" s="345"/>
    <row r="202" ht="15.75" customHeight="1" s="345"/>
    <row r="203" ht="15.75" customHeight="1" s="345"/>
    <row r="204" ht="15.75" customHeight="1" s="345"/>
    <row r="205" ht="15.75" customHeight="1" s="345"/>
    <row r="206" ht="15.75" customHeight="1" s="345"/>
    <row r="207" ht="15.75" customHeight="1" s="345"/>
    <row r="208" ht="15.75" customHeight="1" s="345"/>
    <row r="209" ht="15.75" customHeight="1" s="345"/>
    <row r="210" ht="15.75" customHeight="1" s="345"/>
    <row r="211" ht="15.75" customHeight="1" s="345"/>
    <row r="212" ht="15.75" customHeight="1" s="345"/>
    <row r="213" ht="15.75" customHeight="1" s="345"/>
    <row r="214" ht="15.75" customHeight="1" s="345"/>
    <row r="215" ht="15.75" customHeight="1" s="345"/>
    <row r="216" ht="15.75" customHeight="1" s="345"/>
    <row r="217" ht="15.75" customHeight="1" s="345"/>
    <row r="218" ht="15.75" customHeight="1" s="345"/>
    <row r="219" ht="15.75" customHeight="1" s="345"/>
    <row r="220" ht="15.75" customHeight="1" s="345"/>
    <row r="221" ht="15.75" customHeight="1" s="345"/>
    <row r="222" ht="15.75" customHeight="1" s="345"/>
    <row r="223" ht="15.75" customHeight="1" s="345"/>
    <row r="224" ht="15.75" customHeight="1" s="345"/>
    <row r="225" ht="15.75" customHeight="1" s="345"/>
    <row r="226" ht="15.75" customHeight="1" s="345"/>
    <row r="227" ht="15.75" customHeight="1" s="345"/>
    <row r="228" ht="15.75" customHeight="1" s="345"/>
    <row r="229" ht="15.75" customHeight="1" s="345"/>
    <row r="230" ht="15.75" customHeight="1" s="345"/>
    <row r="231" ht="15.75" customHeight="1" s="345"/>
    <row r="232" ht="15.75" customHeight="1" s="345"/>
    <row r="233" ht="15.75" customHeight="1" s="345"/>
    <row r="234" ht="15.75" customHeight="1" s="345"/>
    <row r="235" ht="15.75" customHeight="1" s="345"/>
    <row r="236" ht="15.75" customHeight="1" s="345"/>
    <row r="237" ht="15.75" customHeight="1" s="345"/>
    <row r="238" ht="15.75" customHeight="1" s="345"/>
    <row r="239" ht="15.75" customHeight="1" s="345"/>
    <row r="240" ht="15.75" customHeight="1" s="345"/>
    <row r="241" ht="15.75" customHeight="1" s="345"/>
    <row r="242" ht="15.75" customHeight="1" s="345"/>
    <row r="243" ht="15.75" customHeight="1" s="345"/>
    <row r="244" ht="15.75" customHeight="1" s="345"/>
    <row r="245" ht="15.75" customHeight="1" s="345"/>
    <row r="246" ht="15.75" customHeight="1" s="345"/>
    <row r="247" ht="15.75" customHeight="1" s="345"/>
    <row r="248" ht="15.75" customHeight="1" s="345"/>
    <row r="249" ht="15.75" customHeight="1" s="345"/>
    <row r="250" ht="15.75" customHeight="1" s="345"/>
    <row r="251" ht="15.75" customHeight="1" s="345"/>
    <row r="252" ht="15.75" customHeight="1" s="345"/>
    <row r="253" ht="15.75" customHeight="1" s="345"/>
    <row r="254" ht="15.75" customHeight="1" s="345"/>
    <row r="255" ht="15.75" customHeight="1" s="345"/>
    <row r="256" ht="15.75" customHeight="1" s="345"/>
    <row r="257" ht="15.75" customHeight="1" s="345"/>
    <row r="258" ht="15.75" customHeight="1" s="345"/>
    <row r="259" ht="15.75" customHeight="1" s="345"/>
    <row r="260" ht="15.75" customHeight="1" s="345"/>
    <row r="261" ht="15.75" customHeight="1" s="345"/>
    <row r="262" ht="15.75" customHeight="1" s="345"/>
    <row r="263" ht="15.75" customHeight="1" s="345"/>
    <row r="264" ht="15.75" customHeight="1" s="345"/>
    <row r="265" ht="15.75" customHeight="1" s="345"/>
    <row r="266" ht="15.75" customHeight="1" s="345"/>
    <row r="267" ht="15.75" customHeight="1" s="345"/>
    <row r="268" ht="15.75" customHeight="1" s="345"/>
    <row r="269" ht="15.75" customHeight="1" s="345"/>
    <row r="270" ht="15.75" customHeight="1" s="345"/>
    <row r="271" ht="15.75" customHeight="1" s="345"/>
    <row r="272" ht="15.75" customHeight="1" s="345"/>
    <row r="273" ht="15.75" customHeight="1" s="345"/>
    <row r="274" ht="15.75" customHeight="1" s="345"/>
    <row r="275" ht="15.75" customHeight="1" s="345"/>
    <row r="276" ht="15.75" customHeight="1" s="345"/>
    <row r="277" ht="15.75" customHeight="1" s="345"/>
    <row r="278" ht="15.75" customHeight="1" s="345"/>
    <row r="279" ht="15.75" customHeight="1" s="345"/>
    <row r="280" ht="15.75" customHeight="1" s="345"/>
    <row r="281" ht="15.75" customHeight="1" s="345"/>
    <row r="282" ht="15.75" customHeight="1" s="345"/>
    <row r="283" ht="15.75" customHeight="1" s="345"/>
    <row r="284" ht="15.75" customHeight="1" s="345"/>
    <row r="285" ht="15.75" customHeight="1" s="345"/>
    <row r="286" ht="15.75" customHeight="1" s="345"/>
    <row r="287" ht="15.75" customHeight="1" s="345"/>
    <row r="288" ht="15.75" customHeight="1" s="345"/>
    <row r="289" ht="15.75" customHeight="1" s="345"/>
    <row r="290" ht="15.75" customHeight="1" s="345"/>
    <row r="291" ht="15.75" customHeight="1" s="345"/>
    <row r="292" ht="15.75" customHeight="1" s="345"/>
    <row r="293" ht="15.75" customHeight="1" s="345"/>
    <row r="294" ht="15.75" customHeight="1" s="345"/>
    <row r="295" ht="15.75" customHeight="1" s="345"/>
    <row r="296" ht="15.75" customHeight="1" s="345"/>
    <row r="297" ht="15.75" customHeight="1" s="345"/>
    <row r="298" ht="15.75" customHeight="1" s="345"/>
    <row r="299" ht="15.75" customHeight="1" s="345"/>
    <row r="300" ht="15.75" customHeight="1" s="345"/>
    <row r="301" ht="15.75" customHeight="1" s="345"/>
    <row r="302" ht="15.75" customHeight="1" s="345"/>
    <row r="303" ht="15.75" customHeight="1" s="345"/>
    <row r="304" ht="15.75" customHeight="1" s="345"/>
    <row r="305" ht="15.75" customHeight="1" s="345"/>
    <row r="306" ht="15.75" customHeight="1" s="345"/>
    <row r="307" ht="15.75" customHeight="1" s="345"/>
    <row r="308" ht="15.75" customHeight="1" s="345"/>
    <row r="309" ht="15.75" customHeight="1" s="345"/>
    <row r="310" ht="15.75" customHeight="1" s="345"/>
    <row r="311" ht="15.75" customHeight="1" s="345"/>
    <row r="312" ht="15.75" customHeight="1" s="345"/>
    <row r="313" ht="15.75" customHeight="1" s="345"/>
    <row r="314" ht="15.75" customHeight="1" s="345"/>
    <row r="315" ht="15.75" customHeight="1" s="345"/>
    <row r="316" ht="15.75" customHeight="1" s="345"/>
    <row r="317" ht="15.75" customHeight="1" s="345"/>
    <row r="318" ht="15.75" customHeight="1" s="345"/>
    <row r="319" ht="15.75" customHeight="1" s="345"/>
    <row r="320" ht="15.75" customHeight="1" s="345"/>
    <row r="321" ht="15.75" customHeight="1" s="345"/>
    <row r="322" ht="15.75" customHeight="1" s="345"/>
    <row r="323" ht="15.75" customHeight="1" s="345"/>
    <row r="324" ht="15.75" customHeight="1" s="345"/>
    <row r="325" ht="15.75" customHeight="1" s="345"/>
    <row r="326" ht="15.75" customHeight="1" s="345"/>
    <row r="327" ht="15.75" customHeight="1" s="345"/>
    <row r="328" ht="15.75" customHeight="1" s="345"/>
    <row r="329" ht="15.75" customHeight="1" s="345"/>
    <row r="330" ht="15.75" customHeight="1" s="345"/>
    <row r="331" ht="15.75" customHeight="1" s="345"/>
    <row r="332" ht="15.75" customHeight="1" s="345"/>
    <row r="333" ht="15.75" customHeight="1" s="345"/>
    <row r="334" ht="15.75" customHeight="1" s="345"/>
    <row r="335" ht="15.75" customHeight="1" s="345"/>
    <row r="336" ht="15.75" customHeight="1" s="345"/>
    <row r="337" ht="15.75" customHeight="1" s="345"/>
    <row r="338" ht="15.75" customHeight="1" s="345"/>
    <row r="339" ht="15.75" customHeight="1" s="345"/>
    <row r="340" ht="15.75" customHeight="1" s="345"/>
    <row r="341" ht="15.75" customHeight="1" s="345"/>
    <row r="342" ht="15.75" customHeight="1" s="345"/>
    <row r="343" ht="15.75" customHeight="1" s="345"/>
    <row r="344" ht="15.75" customHeight="1" s="345"/>
    <row r="345" ht="15.75" customHeight="1" s="345"/>
    <row r="346" ht="15.75" customHeight="1" s="345"/>
    <row r="347" ht="15.75" customHeight="1" s="345"/>
    <row r="348" ht="15.75" customHeight="1" s="345"/>
    <row r="349" ht="15.75" customHeight="1" s="345"/>
    <row r="350" ht="15.75" customHeight="1" s="345"/>
    <row r="351" ht="15.75" customHeight="1" s="345"/>
    <row r="352" ht="15.75" customHeight="1" s="345"/>
    <row r="353" ht="15.75" customHeight="1" s="345"/>
    <row r="354" ht="15.75" customHeight="1" s="345"/>
    <row r="355" ht="15.75" customHeight="1" s="345"/>
    <row r="356" ht="15.75" customHeight="1" s="345"/>
    <row r="357" ht="15.75" customHeight="1" s="345"/>
    <row r="358" ht="15.75" customHeight="1" s="345"/>
    <row r="359" ht="15.75" customHeight="1" s="345"/>
    <row r="360" ht="15.75" customHeight="1" s="345"/>
    <row r="361" ht="15.75" customHeight="1" s="345"/>
    <row r="362" ht="15.75" customHeight="1" s="345"/>
    <row r="363" ht="15.75" customHeight="1" s="345"/>
    <row r="364" ht="15.75" customHeight="1" s="345"/>
    <row r="365" ht="15.75" customHeight="1" s="345"/>
    <row r="366" ht="15.75" customHeight="1" s="345"/>
    <row r="367" ht="15.75" customHeight="1" s="345"/>
    <row r="368" ht="15.75" customHeight="1" s="345"/>
    <row r="369" ht="15.75" customHeight="1" s="345"/>
    <row r="370" ht="15.75" customHeight="1" s="345"/>
    <row r="371" ht="15.75" customHeight="1" s="345"/>
    <row r="372" ht="15.75" customHeight="1" s="345"/>
    <row r="373" ht="15.75" customHeight="1" s="345"/>
    <row r="374" ht="15.75" customHeight="1" s="345"/>
    <row r="375" ht="15.75" customHeight="1" s="345"/>
    <row r="376" ht="15.75" customHeight="1" s="345"/>
    <row r="377" ht="15.75" customHeight="1" s="345"/>
    <row r="378" ht="15.75" customHeight="1" s="345"/>
    <row r="379" ht="15.75" customHeight="1" s="345"/>
    <row r="380" ht="15.75" customHeight="1" s="345"/>
    <row r="381" ht="15.75" customHeight="1" s="345"/>
    <row r="382" ht="15.75" customHeight="1" s="345"/>
    <row r="383" ht="15.75" customHeight="1" s="345"/>
    <row r="384" ht="15.75" customHeight="1" s="345"/>
    <row r="385" ht="15.75" customHeight="1" s="345"/>
    <row r="386" ht="15.75" customHeight="1" s="345"/>
    <row r="387" ht="15.75" customHeight="1" s="345"/>
    <row r="388" ht="15.75" customHeight="1" s="345"/>
    <row r="389" ht="15.75" customHeight="1" s="345"/>
    <row r="390" ht="15.75" customHeight="1" s="345"/>
    <row r="391" ht="15.75" customHeight="1" s="345"/>
    <row r="392" ht="15.75" customHeight="1" s="345"/>
    <row r="393" ht="15.75" customHeight="1" s="345"/>
    <row r="394" ht="15.75" customHeight="1" s="345"/>
    <row r="395" ht="15.75" customHeight="1" s="345"/>
    <row r="396" ht="15.75" customHeight="1" s="345"/>
    <row r="397" ht="15.75" customHeight="1" s="345"/>
    <row r="398" ht="15.75" customHeight="1" s="345"/>
    <row r="399" ht="15.75" customHeight="1" s="345"/>
    <row r="400" ht="15.75" customHeight="1" s="345"/>
    <row r="401" ht="15.75" customHeight="1" s="345"/>
    <row r="402" ht="15.75" customHeight="1" s="345"/>
    <row r="403" ht="15.75" customHeight="1" s="345"/>
    <row r="404" ht="15.75" customHeight="1" s="345"/>
    <row r="405" ht="15.75" customHeight="1" s="345"/>
    <row r="406" ht="15.75" customHeight="1" s="345"/>
    <row r="407" ht="15.75" customHeight="1" s="345"/>
    <row r="408" ht="15.75" customHeight="1" s="345"/>
    <row r="409" ht="15.75" customHeight="1" s="345"/>
    <row r="410" ht="15.75" customHeight="1" s="345"/>
    <row r="411" ht="15.75" customHeight="1" s="345"/>
    <row r="412" ht="15.75" customHeight="1" s="345"/>
    <row r="413" ht="15.75" customHeight="1" s="345"/>
    <row r="414" ht="15.75" customHeight="1" s="345"/>
    <row r="415" ht="15.75" customHeight="1" s="345"/>
    <row r="416" ht="15.75" customHeight="1" s="345"/>
    <row r="417" ht="15.75" customHeight="1" s="345"/>
    <row r="418" ht="15.75" customHeight="1" s="345"/>
    <row r="419" ht="15.75" customHeight="1" s="345"/>
    <row r="420" ht="15.75" customHeight="1" s="345"/>
    <row r="421" ht="15.75" customHeight="1" s="345"/>
    <row r="422" ht="15.75" customHeight="1" s="345"/>
    <row r="423" ht="15.75" customHeight="1" s="345"/>
    <row r="424" ht="15.75" customHeight="1" s="345"/>
    <row r="425" ht="15.75" customHeight="1" s="345"/>
    <row r="426" ht="15.75" customHeight="1" s="345"/>
    <row r="427" ht="15.75" customHeight="1" s="345"/>
    <row r="428" ht="15.75" customHeight="1" s="345"/>
    <row r="429" ht="15.75" customHeight="1" s="345"/>
    <row r="430" ht="15.75" customHeight="1" s="345"/>
    <row r="431" ht="15.75" customHeight="1" s="345"/>
    <row r="432" ht="15.75" customHeight="1" s="345"/>
    <row r="433" ht="15.75" customHeight="1" s="345"/>
    <row r="434" ht="15.75" customHeight="1" s="345"/>
    <row r="435" ht="15.75" customHeight="1" s="345"/>
    <row r="436" ht="15.75" customHeight="1" s="345"/>
    <row r="437" ht="15.75" customHeight="1" s="345"/>
    <row r="438" ht="15.75" customHeight="1" s="345"/>
    <row r="439" ht="15.75" customHeight="1" s="345"/>
    <row r="440" ht="15.75" customHeight="1" s="345"/>
    <row r="441" ht="15.75" customHeight="1" s="345"/>
    <row r="442" ht="15.75" customHeight="1" s="345"/>
    <row r="443" ht="15.75" customHeight="1" s="345"/>
    <row r="444" ht="15.75" customHeight="1" s="345"/>
    <row r="445" ht="15.75" customHeight="1" s="345"/>
    <row r="446" ht="15.75" customHeight="1" s="345"/>
    <row r="447" ht="15.75" customHeight="1" s="345"/>
    <row r="448" ht="15.75" customHeight="1" s="345"/>
    <row r="449" ht="15.75" customHeight="1" s="345"/>
    <row r="450" ht="15.75" customHeight="1" s="345"/>
    <row r="451" ht="15.75" customHeight="1" s="345"/>
    <row r="452" ht="15.75" customHeight="1" s="345"/>
    <row r="453" ht="15.75" customHeight="1" s="345"/>
    <row r="454" ht="15.75" customHeight="1" s="345"/>
    <row r="455" ht="15.75" customHeight="1" s="345"/>
    <row r="456" ht="15.75" customHeight="1" s="345"/>
    <row r="457" ht="15.75" customHeight="1" s="345"/>
    <row r="458" ht="15.75" customHeight="1" s="345"/>
    <row r="459" ht="15.75" customHeight="1" s="345"/>
    <row r="460" ht="15.75" customHeight="1" s="345"/>
    <row r="461" ht="15.75" customHeight="1" s="345"/>
    <row r="462" ht="15.75" customHeight="1" s="345"/>
    <row r="463" ht="15.75" customHeight="1" s="345"/>
    <row r="464" ht="15.75" customHeight="1" s="345"/>
    <row r="465" ht="15.75" customHeight="1" s="345"/>
    <row r="466" ht="15.75" customHeight="1" s="345"/>
    <row r="467" ht="15.75" customHeight="1" s="345"/>
    <row r="468" ht="15.75" customHeight="1" s="345"/>
    <row r="469" ht="15.75" customHeight="1" s="345"/>
    <row r="470" ht="15.75" customHeight="1" s="345"/>
    <row r="471" ht="15.75" customHeight="1" s="345"/>
    <row r="472" ht="15.75" customHeight="1" s="345"/>
    <row r="473" ht="15.75" customHeight="1" s="345"/>
    <row r="474" ht="15.75" customHeight="1" s="345"/>
    <row r="475" ht="15.75" customHeight="1" s="345"/>
    <row r="476" ht="15.75" customHeight="1" s="345"/>
    <row r="477" ht="15.75" customHeight="1" s="345"/>
    <row r="478" ht="15.75" customHeight="1" s="345"/>
    <row r="479" ht="15.75" customHeight="1" s="345"/>
    <row r="480" ht="15.75" customHeight="1" s="345"/>
    <row r="481" ht="15.75" customHeight="1" s="345"/>
    <row r="482" ht="15.75" customHeight="1" s="345"/>
    <row r="483" ht="15.75" customHeight="1" s="345"/>
    <row r="484" ht="15.75" customHeight="1" s="345"/>
    <row r="485" ht="15.75" customHeight="1" s="345"/>
    <row r="486" ht="15.75" customHeight="1" s="345"/>
    <row r="487" ht="15.75" customHeight="1" s="345"/>
    <row r="488" ht="15.75" customHeight="1" s="345"/>
    <row r="489" ht="15.75" customHeight="1" s="345"/>
    <row r="490" ht="15.75" customHeight="1" s="345"/>
    <row r="491" ht="15.75" customHeight="1" s="345"/>
    <row r="492" ht="15.75" customHeight="1" s="345"/>
    <row r="493" ht="15.75" customHeight="1" s="345"/>
    <row r="494" ht="15.75" customHeight="1" s="345"/>
    <row r="495" ht="15.75" customHeight="1" s="345"/>
    <row r="496" ht="15.75" customHeight="1" s="345"/>
    <row r="497" ht="15.75" customHeight="1" s="345"/>
    <row r="498" ht="15.75" customHeight="1" s="345"/>
    <row r="499" ht="15.75" customHeight="1" s="345"/>
    <row r="500" ht="15.75" customHeight="1" s="345"/>
    <row r="501" ht="15.75" customHeight="1" s="345"/>
    <row r="502" ht="15.75" customHeight="1" s="345"/>
    <row r="503" ht="15.75" customHeight="1" s="345"/>
    <row r="504" ht="15.75" customHeight="1" s="345"/>
    <row r="505" ht="15.75" customHeight="1" s="345"/>
    <row r="506" ht="15.75" customHeight="1" s="345"/>
    <row r="507" ht="15.75" customHeight="1" s="345"/>
    <row r="508" ht="15.75" customHeight="1" s="345"/>
    <row r="509" ht="15.75" customHeight="1" s="345"/>
    <row r="510" ht="15.75" customHeight="1" s="345"/>
    <row r="511" ht="15.75" customHeight="1" s="345"/>
    <row r="512" ht="15.75" customHeight="1" s="345"/>
    <row r="513" ht="15.75" customHeight="1" s="345"/>
    <row r="514" ht="15.75" customHeight="1" s="345"/>
    <row r="515" ht="15.75" customHeight="1" s="345"/>
    <row r="516" ht="15.75" customHeight="1" s="345"/>
    <row r="517" ht="15.75" customHeight="1" s="345"/>
    <row r="518" ht="15.75" customHeight="1" s="345"/>
    <row r="519" ht="15.75" customHeight="1" s="345"/>
    <row r="520" ht="15.75" customHeight="1" s="345"/>
    <row r="521" ht="15.75" customHeight="1" s="345"/>
    <row r="522" ht="15.75" customHeight="1" s="345"/>
    <row r="523" ht="15.75" customHeight="1" s="345"/>
    <row r="524" ht="15.75" customHeight="1" s="345"/>
    <row r="525" ht="15.75" customHeight="1" s="345"/>
    <row r="526" ht="15.75" customHeight="1" s="345"/>
    <row r="527" ht="15.75" customHeight="1" s="345"/>
    <row r="528" ht="15.75" customHeight="1" s="345"/>
    <row r="529" ht="15.75" customHeight="1" s="345"/>
    <row r="530" ht="15.75" customHeight="1" s="345"/>
    <row r="531" ht="15.75" customHeight="1" s="345"/>
    <row r="532" ht="15.75" customHeight="1" s="345"/>
    <row r="533" ht="15.75" customHeight="1" s="345"/>
    <row r="534" ht="15.75" customHeight="1" s="345"/>
    <row r="535" ht="15.75" customHeight="1" s="345"/>
    <row r="536" ht="15.75" customHeight="1" s="345"/>
    <row r="537" ht="15.75" customHeight="1" s="345"/>
    <row r="538" ht="15.75" customHeight="1" s="345"/>
    <row r="539" ht="15.75" customHeight="1" s="345"/>
    <row r="540" ht="15.75" customHeight="1" s="345"/>
    <row r="541" ht="15.75" customHeight="1" s="345"/>
    <row r="542" ht="15.75" customHeight="1" s="345"/>
    <row r="543" ht="15.75" customHeight="1" s="345"/>
    <row r="544" ht="15.75" customHeight="1" s="345"/>
    <row r="545" ht="15.75" customHeight="1" s="345"/>
    <row r="546" ht="15.75" customHeight="1" s="345"/>
    <row r="547" ht="15.75" customHeight="1" s="345"/>
    <row r="548" ht="15.75" customHeight="1" s="345"/>
    <row r="549" ht="15.75" customHeight="1" s="345"/>
    <row r="550" ht="15.75" customHeight="1" s="345"/>
    <row r="551" ht="15.75" customHeight="1" s="345"/>
    <row r="552" ht="15.75" customHeight="1" s="345"/>
    <row r="553" ht="15.75" customHeight="1" s="345"/>
    <row r="554" ht="15.75" customHeight="1" s="345"/>
    <row r="555" ht="15.75" customHeight="1" s="345"/>
    <row r="556" ht="15.75" customHeight="1" s="345"/>
    <row r="557" ht="15.75" customHeight="1" s="345"/>
    <row r="558" ht="15.75" customHeight="1" s="345"/>
    <row r="559" ht="15.75" customHeight="1" s="345"/>
    <row r="560" ht="15.75" customHeight="1" s="345"/>
    <row r="561" ht="15.75" customHeight="1" s="345"/>
    <row r="562" ht="15.75" customHeight="1" s="345"/>
    <row r="563" ht="15.75" customHeight="1" s="345"/>
    <row r="564" ht="15.75" customHeight="1" s="345"/>
    <row r="565" ht="15.75" customHeight="1" s="345"/>
    <row r="566" ht="15.75" customHeight="1" s="345"/>
    <row r="567" ht="15.75" customHeight="1" s="345"/>
    <row r="568" ht="15.75" customHeight="1" s="345"/>
    <row r="569" ht="15.75" customHeight="1" s="345"/>
    <row r="570" ht="15.75" customHeight="1" s="345"/>
    <row r="571" ht="15.75" customHeight="1" s="345"/>
    <row r="572" ht="15.75" customHeight="1" s="345"/>
    <row r="573" ht="15.75" customHeight="1" s="345"/>
    <row r="574" ht="15.75" customHeight="1" s="345"/>
    <row r="575" ht="15.75" customHeight="1" s="345"/>
    <row r="576" ht="15.75" customHeight="1" s="345"/>
    <row r="577" ht="15.75" customHeight="1" s="345"/>
    <row r="578" ht="15.75" customHeight="1" s="345"/>
    <row r="579" ht="15.75" customHeight="1" s="345"/>
    <row r="580" ht="15.75" customHeight="1" s="345"/>
    <row r="581" ht="15.75" customHeight="1" s="345"/>
    <row r="582" ht="15.75" customHeight="1" s="345"/>
    <row r="583" ht="15.75" customHeight="1" s="345"/>
    <row r="584" ht="15.75" customHeight="1" s="345"/>
    <row r="585" ht="15.75" customHeight="1" s="345"/>
    <row r="586" ht="15.75" customHeight="1" s="345"/>
    <row r="587" ht="15.75" customHeight="1" s="345"/>
    <row r="588" ht="15.75" customHeight="1" s="345"/>
    <row r="589" ht="15.75" customHeight="1" s="345"/>
    <row r="590" ht="15.75" customHeight="1" s="345"/>
    <row r="591" ht="15.75" customHeight="1" s="345"/>
    <row r="592" ht="15.75" customHeight="1" s="345"/>
    <row r="593" ht="15.75" customHeight="1" s="345"/>
    <row r="594" ht="15.75" customHeight="1" s="345"/>
    <row r="595" ht="15.75" customHeight="1" s="345"/>
    <row r="596" ht="15.75" customHeight="1" s="345"/>
    <row r="597" ht="15.75" customHeight="1" s="345"/>
    <row r="598" ht="15.75" customHeight="1" s="345"/>
    <row r="599" ht="15.75" customHeight="1" s="345"/>
    <row r="600" ht="15.75" customHeight="1" s="345"/>
    <row r="601" ht="15.75" customHeight="1" s="345"/>
    <row r="602" ht="15.75" customHeight="1" s="345"/>
    <row r="603" ht="15.75" customHeight="1" s="345"/>
    <row r="604" ht="15.75" customHeight="1" s="345"/>
    <row r="605" ht="15.75" customHeight="1" s="345"/>
    <row r="606" ht="15.75" customHeight="1" s="345"/>
    <row r="607" ht="15.75" customHeight="1" s="345"/>
    <row r="608" ht="15.75" customHeight="1" s="345"/>
    <row r="609" ht="15.75" customHeight="1" s="345"/>
    <row r="610" ht="15.75" customHeight="1" s="345"/>
    <row r="611" ht="15.75" customHeight="1" s="345"/>
    <row r="612" ht="15.75" customHeight="1" s="345"/>
    <row r="613" ht="15.75" customHeight="1" s="345"/>
    <row r="614" ht="15.75" customHeight="1" s="345"/>
    <row r="615" ht="15.75" customHeight="1" s="345"/>
    <row r="616" ht="15.75" customHeight="1" s="345"/>
    <row r="617" ht="15.75" customHeight="1" s="345"/>
    <row r="618" ht="15.75" customHeight="1" s="345"/>
    <row r="619" ht="15.75" customHeight="1" s="345"/>
    <row r="620" ht="15.75" customHeight="1" s="345"/>
    <row r="621" ht="15.75" customHeight="1" s="345"/>
    <row r="622" ht="15.75" customHeight="1" s="345"/>
    <row r="623" ht="15.75" customHeight="1" s="345"/>
    <row r="624" ht="15.75" customHeight="1" s="345"/>
    <row r="625" ht="15.75" customHeight="1" s="345"/>
    <row r="626" ht="15.75" customHeight="1" s="345"/>
    <row r="627" ht="15.75" customHeight="1" s="345"/>
    <row r="628" ht="15.75" customHeight="1" s="345"/>
    <row r="629" ht="15.75" customHeight="1" s="345"/>
    <row r="630" ht="15.75" customHeight="1" s="345"/>
    <row r="631" ht="15.75" customHeight="1" s="345"/>
    <row r="632" ht="15.75" customHeight="1" s="345"/>
    <row r="633" ht="15.75" customHeight="1" s="345"/>
    <row r="634" ht="15.75" customHeight="1" s="345"/>
    <row r="635" ht="15.75" customHeight="1" s="345"/>
    <row r="636" ht="15.75" customHeight="1" s="345"/>
    <row r="637" ht="15.75" customHeight="1" s="345"/>
    <row r="638" ht="15.75" customHeight="1" s="345"/>
    <row r="639" ht="15.75" customHeight="1" s="345"/>
    <row r="640" ht="15.75" customHeight="1" s="345"/>
    <row r="641" ht="15.75" customHeight="1" s="345"/>
    <row r="642" ht="15.75" customHeight="1" s="345"/>
    <row r="643" ht="15.75" customHeight="1" s="345"/>
    <row r="644" ht="15.75" customHeight="1" s="345"/>
    <row r="645" ht="15.75" customHeight="1" s="345"/>
    <row r="646" ht="15.75" customHeight="1" s="345"/>
    <row r="647" ht="15.75" customHeight="1" s="345"/>
    <row r="648" ht="15.75" customHeight="1" s="345"/>
    <row r="649" ht="15.75" customHeight="1" s="345"/>
    <row r="650" ht="15.75" customHeight="1" s="345"/>
    <row r="651" ht="15.75" customHeight="1" s="345"/>
    <row r="652" ht="15.75" customHeight="1" s="345"/>
    <row r="653" ht="15.75" customHeight="1" s="345"/>
    <row r="654" ht="15.75" customHeight="1" s="345"/>
    <row r="655" ht="15.75" customHeight="1" s="345"/>
    <row r="656" ht="15.75" customHeight="1" s="345"/>
    <row r="657" ht="15.75" customHeight="1" s="345"/>
    <row r="658" ht="15.75" customHeight="1" s="345"/>
    <row r="659" ht="15.75" customHeight="1" s="345"/>
    <row r="660" ht="15.75" customHeight="1" s="345"/>
    <row r="661" ht="15.75" customHeight="1" s="345"/>
    <row r="662" ht="15.75" customHeight="1" s="345"/>
    <row r="663" ht="15.75" customHeight="1" s="345"/>
    <row r="664" ht="15.75" customHeight="1" s="345"/>
    <row r="665" ht="15.75" customHeight="1" s="345"/>
    <row r="666" ht="15.75" customHeight="1" s="345"/>
    <row r="667" ht="15.75" customHeight="1" s="345"/>
    <row r="668" ht="15.75" customHeight="1" s="345"/>
    <row r="669" ht="15.75" customHeight="1" s="345"/>
    <row r="670" ht="15.75" customHeight="1" s="345"/>
    <row r="671" ht="15.75" customHeight="1" s="345"/>
    <row r="672" ht="15.75" customHeight="1" s="345"/>
    <row r="673" ht="15.75" customHeight="1" s="345"/>
    <row r="674" ht="15.75" customHeight="1" s="345"/>
    <row r="675" ht="15.75" customHeight="1" s="345"/>
    <row r="676" ht="15.75" customHeight="1" s="345"/>
    <row r="677" ht="15.75" customHeight="1" s="345"/>
    <row r="678" ht="15.75" customHeight="1" s="345"/>
    <row r="679" ht="15.75" customHeight="1" s="345"/>
    <row r="680" ht="15.75" customHeight="1" s="345"/>
    <row r="681" ht="15.75" customHeight="1" s="345"/>
    <row r="682" ht="15.75" customHeight="1" s="345"/>
    <row r="683" ht="15.75" customHeight="1" s="345"/>
    <row r="684" ht="15.75" customHeight="1" s="345"/>
    <row r="685" ht="15.75" customHeight="1" s="345"/>
    <row r="686" ht="15.75" customHeight="1" s="345"/>
    <row r="687" ht="15.75" customHeight="1" s="345"/>
    <row r="688" ht="15.75" customHeight="1" s="345"/>
    <row r="689" ht="15.75" customHeight="1" s="345"/>
    <row r="690" ht="15.75" customHeight="1" s="345"/>
    <row r="691" ht="15.75" customHeight="1" s="345"/>
    <row r="692" ht="15.75" customHeight="1" s="345"/>
    <row r="693" ht="15.75" customHeight="1" s="345"/>
    <row r="694" ht="15.75" customHeight="1" s="345"/>
    <row r="695" ht="15.75" customHeight="1" s="345"/>
    <row r="696" ht="15.75" customHeight="1" s="345"/>
    <row r="697" ht="15.75" customHeight="1" s="345"/>
    <row r="698" ht="15.75" customHeight="1" s="345"/>
    <row r="699" ht="15.75" customHeight="1" s="345"/>
    <row r="700" ht="15.75" customHeight="1" s="345"/>
    <row r="701" ht="15.75" customHeight="1" s="345"/>
    <row r="702" ht="15.75" customHeight="1" s="345"/>
    <row r="703" ht="15.75" customHeight="1" s="345"/>
    <row r="704" ht="15.75" customHeight="1" s="345"/>
    <row r="705" ht="15.75" customHeight="1" s="345"/>
    <row r="706" ht="15.75" customHeight="1" s="345"/>
    <row r="707" ht="15.75" customHeight="1" s="345"/>
    <row r="708" ht="15.75" customHeight="1" s="345"/>
    <row r="709" ht="15.75" customHeight="1" s="345"/>
    <row r="710" ht="15.75" customHeight="1" s="345"/>
    <row r="711" ht="15.75" customHeight="1" s="345"/>
    <row r="712" ht="15.75" customHeight="1" s="345"/>
    <row r="713" ht="15.75" customHeight="1" s="345"/>
    <row r="714" ht="15.75" customHeight="1" s="345"/>
    <row r="715" ht="15.75" customHeight="1" s="345"/>
    <row r="716" ht="15.75" customHeight="1" s="345"/>
    <row r="717" ht="15.75" customHeight="1" s="345"/>
    <row r="718" ht="15.75" customHeight="1" s="345"/>
    <row r="719" ht="15.75" customHeight="1" s="345"/>
    <row r="720" ht="15.75" customHeight="1" s="345"/>
    <row r="721" ht="15.75" customHeight="1" s="345"/>
    <row r="722" ht="15.75" customHeight="1" s="345"/>
    <row r="723" ht="15.75" customHeight="1" s="345"/>
    <row r="724" ht="15.75" customHeight="1" s="345"/>
    <row r="725" ht="15.75" customHeight="1" s="345"/>
    <row r="726" ht="15.75" customHeight="1" s="345"/>
    <row r="727" ht="15.75" customHeight="1" s="345"/>
    <row r="728" ht="15.75" customHeight="1" s="345"/>
    <row r="729" ht="15.75" customHeight="1" s="345"/>
    <row r="730" ht="15.75" customHeight="1" s="345"/>
    <row r="731" ht="15.75" customHeight="1" s="345"/>
    <row r="732" ht="15.75" customHeight="1" s="345"/>
    <row r="733" ht="15.75" customHeight="1" s="345"/>
    <row r="734" ht="15.75" customHeight="1" s="345"/>
    <row r="735" ht="15.75" customHeight="1" s="345"/>
    <row r="736" ht="15.75" customHeight="1" s="345"/>
    <row r="737" ht="15.75" customHeight="1" s="345"/>
    <row r="738" ht="15.75" customHeight="1" s="345"/>
    <row r="739" ht="15.75" customHeight="1" s="345"/>
    <row r="740" ht="15.75" customHeight="1" s="345"/>
    <row r="741" ht="15.75" customHeight="1" s="345"/>
    <row r="742" ht="15.75" customHeight="1" s="345"/>
    <row r="743" ht="15.75" customHeight="1" s="345"/>
    <row r="744" ht="15.75" customHeight="1" s="345"/>
    <row r="745" ht="15.75" customHeight="1" s="345"/>
    <row r="746" ht="15.75" customHeight="1" s="345"/>
    <row r="747" ht="15.75" customHeight="1" s="345"/>
    <row r="748" ht="15.75" customHeight="1" s="345"/>
    <row r="749" ht="15.75" customHeight="1" s="345"/>
    <row r="750" ht="15.75" customHeight="1" s="345"/>
    <row r="751" ht="15.75" customHeight="1" s="345"/>
    <row r="752" ht="15.75" customHeight="1" s="345"/>
    <row r="753" ht="15.75" customHeight="1" s="345"/>
    <row r="754" ht="15.75" customHeight="1" s="345"/>
    <row r="755" ht="15.75" customHeight="1" s="345"/>
    <row r="756" ht="15.75" customHeight="1" s="345"/>
    <row r="757" ht="15.75" customHeight="1" s="345"/>
    <row r="758" ht="15.75" customHeight="1" s="345"/>
    <row r="759" ht="15.75" customHeight="1" s="345"/>
    <row r="760" ht="15.75" customHeight="1" s="345"/>
    <row r="761" ht="15.75" customHeight="1" s="345"/>
    <row r="762" ht="15.75" customHeight="1" s="345"/>
    <row r="763" ht="15.75" customHeight="1" s="345"/>
    <row r="764" ht="15.75" customHeight="1" s="345"/>
    <row r="765" ht="15.75" customHeight="1" s="345"/>
    <row r="766" ht="15.75" customHeight="1" s="345"/>
    <row r="767" ht="15.75" customHeight="1" s="345"/>
    <row r="768" ht="15.75" customHeight="1" s="345"/>
    <row r="769" ht="15.75" customHeight="1" s="345"/>
    <row r="770" ht="15.75" customHeight="1" s="345"/>
    <row r="771" ht="15.75" customHeight="1" s="345"/>
    <row r="772" ht="15.75" customHeight="1" s="345"/>
    <row r="773" ht="15.75" customHeight="1" s="345"/>
    <row r="774" ht="15.75" customHeight="1" s="345"/>
    <row r="775" ht="15.75" customHeight="1" s="345"/>
    <row r="776" ht="15.75" customHeight="1" s="345"/>
    <row r="777" ht="15.75" customHeight="1" s="345"/>
    <row r="778" ht="15.75" customHeight="1" s="345"/>
    <row r="779" ht="15.75" customHeight="1" s="345"/>
    <row r="780" ht="15.75" customHeight="1" s="345"/>
    <row r="781" ht="15.75" customHeight="1" s="345"/>
    <row r="782" ht="15.75" customHeight="1" s="345"/>
    <row r="783" ht="15.75" customHeight="1" s="345"/>
    <row r="784" ht="15.75" customHeight="1" s="345"/>
    <row r="785" ht="15.75" customHeight="1" s="345"/>
    <row r="786" ht="15.75" customHeight="1" s="345"/>
    <row r="787" ht="15.75" customHeight="1" s="345"/>
    <row r="788" ht="15.75" customHeight="1" s="345"/>
    <row r="789" ht="15.75" customHeight="1" s="345"/>
    <row r="790" ht="15.75" customHeight="1" s="345"/>
    <row r="791" ht="15.75" customHeight="1" s="345"/>
    <row r="792" ht="15.75" customHeight="1" s="345"/>
    <row r="793" ht="15.75" customHeight="1" s="345"/>
    <row r="794" ht="15.75" customHeight="1" s="345"/>
    <row r="795" ht="15.75" customHeight="1" s="345"/>
    <row r="796" ht="15.75" customHeight="1" s="345"/>
    <row r="797" ht="15.75" customHeight="1" s="345"/>
    <row r="798" ht="15.75" customHeight="1" s="345"/>
    <row r="799" ht="15.75" customHeight="1" s="345"/>
    <row r="800" ht="15.75" customHeight="1" s="345"/>
    <row r="801" ht="15.75" customHeight="1" s="345"/>
    <row r="802" ht="15.75" customHeight="1" s="345"/>
    <row r="803" ht="15.75" customHeight="1" s="345"/>
    <row r="804" ht="15.75" customHeight="1" s="345"/>
    <row r="805" ht="15.75" customHeight="1" s="345"/>
    <row r="806" ht="15.75" customHeight="1" s="345"/>
    <row r="807" ht="15.75" customHeight="1" s="345"/>
    <row r="808" ht="15.75" customHeight="1" s="345"/>
    <row r="809" ht="15.75" customHeight="1" s="345"/>
    <row r="810" ht="15.75" customHeight="1" s="345"/>
    <row r="811" ht="15.75" customHeight="1" s="345"/>
    <row r="812" ht="15.75" customHeight="1" s="345"/>
    <row r="813" ht="15.75" customHeight="1" s="345"/>
    <row r="814" ht="15.75" customHeight="1" s="345"/>
    <row r="815" ht="15.75" customHeight="1" s="345"/>
    <row r="816" ht="15.75" customHeight="1" s="345"/>
    <row r="817" ht="15.75" customHeight="1" s="345"/>
    <row r="818" ht="15.75" customHeight="1" s="345"/>
    <row r="819" ht="15.75" customHeight="1" s="345"/>
    <row r="820" ht="15.75" customHeight="1" s="345"/>
    <row r="821" ht="15.75" customHeight="1" s="345"/>
    <row r="822" ht="15.75" customHeight="1" s="345"/>
    <row r="823" ht="15.75" customHeight="1" s="345"/>
    <row r="824" ht="15.75" customHeight="1" s="345"/>
    <row r="825" ht="15.75" customHeight="1" s="345"/>
    <row r="826" ht="15.75" customHeight="1" s="345"/>
    <row r="827" ht="15.75" customHeight="1" s="345"/>
    <row r="828" ht="15.75" customHeight="1" s="345"/>
    <row r="829" ht="15.75" customHeight="1" s="345"/>
    <row r="830" ht="15.75" customHeight="1" s="345"/>
    <row r="831" ht="15.75" customHeight="1" s="345"/>
    <row r="832" ht="15.75" customHeight="1" s="345"/>
    <row r="833" ht="15.75" customHeight="1" s="345"/>
    <row r="834" ht="15.75" customHeight="1" s="345"/>
    <row r="835" ht="15.75" customHeight="1" s="345"/>
    <row r="836" ht="15.75" customHeight="1" s="345"/>
    <row r="837" ht="15.75" customHeight="1" s="345"/>
    <row r="838" ht="15.75" customHeight="1" s="345"/>
    <row r="839" ht="15.75" customHeight="1" s="345"/>
    <row r="840" ht="15.75" customHeight="1" s="345"/>
    <row r="841" ht="15.75" customHeight="1" s="345"/>
    <row r="842" ht="15.75" customHeight="1" s="345"/>
    <row r="843" ht="15.75" customHeight="1" s="345"/>
    <row r="844" ht="15.75" customHeight="1" s="345"/>
    <row r="845" ht="15.75" customHeight="1" s="345"/>
    <row r="846" ht="15.75" customHeight="1" s="345"/>
    <row r="847" ht="15.75" customHeight="1" s="345"/>
    <row r="848" ht="15.75" customHeight="1" s="345"/>
    <row r="849" ht="15.75" customHeight="1" s="345"/>
    <row r="850" ht="15.75" customHeight="1" s="345"/>
    <row r="851" ht="15.75" customHeight="1" s="345"/>
    <row r="852" ht="15.75" customHeight="1" s="345"/>
    <row r="853" ht="15.75" customHeight="1" s="345"/>
    <row r="854" ht="15.75" customHeight="1" s="345"/>
    <row r="855" ht="15.75" customHeight="1" s="345"/>
    <row r="856" ht="15.75" customHeight="1" s="345"/>
    <row r="857" ht="15.75" customHeight="1" s="345"/>
    <row r="858" ht="15.75" customHeight="1" s="345"/>
    <row r="859" ht="15.75" customHeight="1" s="345"/>
    <row r="860" ht="15.75" customHeight="1" s="345"/>
    <row r="861" ht="15.75" customHeight="1" s="345"/>
    <row r="862" ht="15.75" customHeight="1" s="345"/>
    <row r="863" ht="15.75" customHeight="1" s="345"/>
    <row r="864" ht="15.75" customHeight="1" s="345"/>
    <row r="865" ht="15.75" customHeight="1" s="345"/>
    <row r="866" ht="15.75" customHeight="1" s="345"/>
    <row r="867" ht="15.75" customHeight="1" s="345"/>
    <row r="868" ht="15.75" customHeight="1" s="345"/>
    <row r="869" ht="15.75" customHeight="1" s="345"/>
    <row r="870" ht="15.75" customHeight="1" s="345"/>
    <row r="871" ht="15.75" customHeight="1" s="345"/>
    <row r="872" ht="15.75" customHeight="1" s="345"/>
    <row r="873" ht="15.75" customHeight="1" s="345"/>
    <row r="874" ht="15.75" customHeight="1" s="345"/>
    <row r="875" ht="15.75" customHeight="1" s="345"/>
    <row r="876" ht="15.75" customHeight="1" s="345"/>
    <row r="877" ht="15.75" customHeight="1" s="345"/>
    <row r="878" ht="15.75" customHeight="1" s="345"/>
    <row r="879" ht="15.75" customHeight="1" s="345"/>
    <row r="880" ht="15.75" customHeight="1" s="345"/>
    <row r="881" ht="15.75" customHeight="1" s="345"/>
    <row r="882" ht="15.75" customHeight="1" s="345"/>
    <row r="883" ht="15.75" customHeight="1" s="345"/>
    <row r="884" ht="15.75" customHeight="1" s="345"/>
    <row r="885" ht="15.75" customHeight="1" s="345"/>
    <row r="886" ht="15.75" customHeight="1" s="345"/>
    <row r="887" ht="15.75" customHeight="1" s="345"/>
    <row r="888" ht="15.75" customHeight="1" s="345"/>
    <row r="889" ht="15.75" customHeight="1" s="345"/>
    <row r="890" ht="15.75" customHeight="1" s="345"/>
    <row r="891" ht="15.75" customHeight="1" s="345"/>
    <row r="892" ht="15.75" customHeight="1" s="345"/>
    <row r="893" ht="15.75" customHeight="1" s="345"/>
    <row r="894" ht="15.75" customHeight="1" s="345"/>
    <row r="895" ht="15.75" customHeight="1" s="345"/>
    <row r="896" ht="15.75" customHeight="1" s="345"/>
    <row r="897" ht="15.75" customHeight="1" s="345"/>
    <row r="898" ht="15.75" customHeight="1" s="345"/>
    <row r="899" ht="15.75" customHeight="1" s="345"/>
    <row r="900" ht="15.75" customHeight="1" s="345"/>
    <row r="901" ht="15.75" customHeight="1" s="345"/>
    <row r="902" ht="15.75" customHeight="1" s="345"/>
    <row r="903" ht="15.75" customHeight="1" s="345"/>
    <row r="904" ht="15.75" customHeight="1" s="345"/>
    <row r="905" ht="15.75" customHeight="1" s="345"/>
    <row r="906" ht="15.75" customHeight="1" s="345"/>
    <row r="907" ht="15.75" customHeight="1" s="345"/>
    <row r="908" ht="15.75" customHeight="1" s="345"/>
    <row r="909" ht="15.75" customHeight="1" s="345"/>
    <row r="910" ht="15.75" customHeight="1" s="345"/>
    <row r="911" ht="15.75" customHeight="1" s="345"/>
    <row r="912" ht="15.75" customHeight="1" s="345"/>
    <row r="913" ht="15.75" customHeight="1" s="345"/>
    <row r="914" ht="15.75" customHeight="1" s="345"/>
    <row r="915" ht="15.75" customHeight="1" s="345"/>
    <row r="916" ht="15.75" customHeight="1" s="345"/>
    <row r="917" ht="15.75" customHeight="1" s="345"/>
    <row r="918" ht="15.75" customHeight="1" s="345"/>
    <row r="919" ht="15.75" customHeight="1" s="345"/>
    <row r="920" ht="15.75" customHeight="1" s="345"/>
    <row r="921" ht="15.75" customHeight="1" s="345"/>
    <row r="922" ht="15.75" customHeight="1" s="345"/>
    <row r="923" ht="15.75" customHeight="1" s="345"/>
    <row r="924" ht="15.75" customHeight="1" s="345"/>
    <row r="925" ht="15.75" customHeight="1" s="345"/>
    <row r="926" ht="15.75" customHeight="1" s="345"/>
    <row r="927" ht="15.75" customHeight="1" s="345"/>
    <row r="928" ht="15.75" customHeight="1" s="345"/>
    <row r="929" ht="15.75" customHeight="1" s="345"/>
    <row r="930" ht="15.75" customHeight="1" s="345"/>
    <row r="931" ht="15.75" customHeight="1" s="345"/>
    <row r="932" ht="15.75" customHeight="1" s="345"/>
    <row r="933" ht="15.75" customHeight="1" s="345"/>
    <row r="934" ht="15.75" customHeight="1" s="345"/>
    <row r="935" ht="15.75" customHeight="1" s="345"/>
    <row r="936" ht="15.75" customHeight="1" s="345"/>
    <row r="937" ht="15.75" customHeight="1" s="345"/>
    <row r="938" ht="15.75" customHeight="1" s="345"/>
    <row r="939" ht="15.75" customHeight="1" s="345"/>
    <row r="940" ht="15.75" customHeight="1" s="345"/>
    <row r="941" ht="15.75" customHeight="1" s="345"/>
    <row r="942" ht="15.75" customHeight="1" s="345"/>
    <row r="943" ht="15.75" customHeight="1" s="345"/>
    <row r="944" ht="15.75" customHeight="1" s="345"/>
    <row r="945" ht="15.75" customHeight="1" s="345"/>
    <row r="946" ht="15.75" customHeight="1" s="345"/>
    <row r="947" ht="15.75" customHeight="1" s="345"/>
    <row r="948" ht="15.75" customHeight="1" s="345"/>
    <row r="949" ht="15.75" customHeight="1" s="345"/>
    <row r="950" ht="15.75" customHeight="1" s="345"/>
    <row r="951" ht="15.75" customHeight="1" s="345"/>
    <row r="952" ht="15.75" customHeight="1" s="345"/>
    <row r="953" ht="15.75" customHeight="1" s="345"/>
    <row r="954" ht="15.75" customHeight="1" s="345"/>
    <row r="955" ht="15.75" customHeight="1" s="345"/>
    <row r="956" ht="15.75" customHeight="1" s="345"/>
    <row r="957" ht="15.75" customHeight="1" s="345"/>
    <row r="958" ht="15.75" customHeight="1" s="345"/>
    <row r="959" ht="15.75" customHeight="1" s="345"/>
    <row r="960" ht="15.75" customHeight="1" s="345"/>
    <row r="961" ht="15.75" customHeight="1" s="345"/>
    <row r="962" ht="15.75" customHeight="1" s="345"/>
    <row r="963" ht="15.75" customHeight="1" s="345"/>
    <row r="964" ht="15.75" customHeight="1" s="345"/>
    <row r="965" ht="15.75" customHeight="1" s="345"/>
    <row r="966" ht="15.75" customHeight="1" s="345"/>
    <row r="967" ht="15.75" customHeight="1" s="345"/>
    <row r="968" ht="15.75" customHeight="1" s="345"/>
    <row r="969" ht="15.75" customHeight="1" s="345"/>
    <row r="970" ht="15.75" customHeight="1" s="345"/>
    <row r="971" ht="15.75" customHeight="1" s="345"/>
    <row r="972" ht="15.75" customHeight="1" s="345"/>
    <row r="973" ht="15.75" customHeight="1" s="345"/>
    <row r="974" ht="15.75" customHeight="1" s="345"/>
    <row r="975" ht="15.75" customHeight="1" s="345"/>
    <row r="976" ht="15.75" customHeight="1" s="345"/>
    <row r="977" ht="15.75" customHeight="1" s="345"/>
    <row r="978" ht="15.75" customHeight="1" s="345"/>
    <row r="979" ht="15.75" customHeight="1" s="345"/>
    <row r="980" ht="15.75" customHeight="1" s="345"/>
    <row r="981" ht="15.75" customHeight="1" s="345"/>
    <row r="982" ht="15.75" customHeight="1" s="345"/>
    <row r="983" ht="15.75" customHeight="1" s="345"/>
    <row r="984" ht="15.75" customHeight="1" s="345"/>
    <row r="985" ht="15.75" customHeight="1" s="345"/>
    <row r="986" ht="15.75" customHeight="1" s="345"/>
    <row r="987" ht="15.75" customHeight="1" s="345"/>
    <row r="988" ht="15.75" customHeight="1" s="345"/>
    <row r="989" ht="15.75" customHeight="1" s="345"/>
    <row r="990" ht="15.75" customHeight="1" s="345"/>
    <row r="991" ht="15.75" customHeight="1" s="345"/>
    <row r="992" ht="15.75" customHeight="1" s="345"/>
    <row r="993" ht="15.75" customHeight="1" s="345"/>
    <row r="994" ht="15.75" customHeight="1" s="345"/>
    <row r="995" ht="15.75" customHeight="1" s="345"/>
    <row r="996" ht="15.75" customHeight="1" s="345"/>
    <row r="997" ht="15.75" customHeight="1" s="345"/>
    <row r="998" ht="15.75" customHeight="1" s="345"/>
    <row r="999" ht="15.75" customHeight="1" s="345"/>
    <row r="1000" ht="15.75" customHeight="1" s="345"/>
  </sheetData>
  <mergeCells count="2">
    <mergeCell ref="A41:A105"/>
    <mergeCell ref="A12:A20"/>
  </mergeCell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Z171"/>
  <sheetViews>
    <sheetView workbookViewId="0">
      <selection activeCell="A1" sqref="A1"/>
    </sheetView>
  </sheetViews>
  <sheetFormatPr baseColWidth="8" defaultColWidth="12.63" defaultRowHeight="15" customHeight="1"/>
  <cols>
    <col width="31.38" customWidth="1" style="345" min="1" max="1"/>
    <col width="12.63" customWidth="1" style="345" min="2" max="2"/>
    <col width="29.38" customWidth="1" style="345" min="3" max="3"/>
    <col width="24.75" customWidth="1" style="345" min="4" max="4"/>
    <col width="12.63" customWidth="1" style="345" min="5" max="6"/>
  </cols>
  <sheetData>
    <row r="1" ht="15.75" customHeight="1" s="345">
      <c r="A1" s="235" t="inlineStr">
        <is>
          <t>Coaching Calculator</t>
        </is>
      </c>
      <c r="B1" s="236" t="n"/>
      <c r="C1" s="236" t="n"/>
      <c r="D1" s="236" t="n"/>
      <c r="E1" s="236" t="n"/>
      <c r="F1" s="236" t="n"/>
      <c r="G1" s="236" t="n"/>
      <c r="H1" s="236" t="n"/>
    </row>
    <row r="2" ht="15.75" customHeight="1" s="345">
      <c r="A2" s="236" t="inlineStr">
        <is>
          <t>Selected Tier:</t>
        </is>
      </c>
      <c r="B2" s="236" t="inlineStr"/>
      <c r="C2" s="236" t="n"/>
      <c r="D2" s="236" t="n"/>
      <c r="E2" s="236" t="n"/>
      <c r="F2" s="236" t="n"/>
      <c r="G2" s="236" t="n"/>
      <c r="H2" s="236" t="n"/>
    </row>
    <row r="3" ht="15.75" customHeight="1" s="345">
      <c r="A3" s="237" t="inlineStr">
        <is>
          <t>Coaching Cost Summary</t>
        </is>
      </c>
      <c r="B3" s="236" t="n"/>
      <c r="C3" s="236" t="n"/>
      <c r="D3" s="236" t="n"/>
      <c r="E3" s="236" t="n"/>
      <c r="F3" s="236" t="n"/>
      <c r="G3" s="236" t="n"/>
      <c r="H3" s="236" t="n"/>
    </row>
    <row r="4" ht="15.75" customHeight="1" s="345">
      <c r="A4" s="238" t="inlineStr">
        <is>
          <t>ITEM</t>
        </is>
      </c>
      <c r="B4" s="239" t="inlineStr">
        <is>
          <t>ITEM COST</t>
        </is>
      </c>
      <c r="C4" s="240" t="inlineStr">
        <is>
          <t>NOTE</t>
        </is>
      </c>
      <c r="D4" s="240" t="inlineStr">
        <is>
          <t>QUANTITY</t>
        </is>
      </c>
      <c r="E4" s="239" t="inlineStr">
        <is>
          <t>COST</t>
        </is>
      </c>
      <c r="F4" s="239" t="inlineStr">
        <is>
          <t>PM FEE</t>
        </is>
      </c>
      <c r="G4" s="239" t="inlineStr">
        <is>
          <t>COST W PM</t>
        </is>
      </c>
      <c r="H4" s="241" t="inlineStr">
        <is>
          <t>MARGIN</t>
        </is>
      </c>
      <c r="I4" s="242" t="inlineStr">
        <is>
          <t>CLIENT PRICE</t>
        </is>
      </c>
    </row>
    <row r="5" ht="15.75" customHeight="1" s="345">
      <c r="A5" s="210" t="inlineStr">
        <is>
          <t>ROADMAP</t>
        </is>
      </c>
      <c r="B5" s="133">
        <f>if(ISNUMBER(D5),B32+H26," ")</f>
        <v/>
      </c>
      <c r="C5" s="134" t="inlineStr">
        <is>
          <t>Per person</t>
        </is>
      </c>
      <c r="D5" s="243">
        <f>E31</f>
        <v/>
      </c>
      <c r="E5" s="133">
        <f>IF(ISNUMBER(D5), D5*B5, "")</f>
        <v/>
      </c>
      <c r="F5" s="133">
        <f>IF(ISNUMBER(D5),D5*B31," ")</f>
        <v/>
      </c>
      <c r="G5" s="133">
        <f>IF(ISNUMBER(D5), E5+F5, " ")</f>
        <v/>
      </c>
      <c r="H5" s="136">
        <f>$B$16</f>
        <v/>
      </c>
      <c r="I5" s="137">
        <f>IF(AND(ISNUMBER(G5), H5&lt;1), H32, "")</f>
        <v/>
      </c>
    </row>
    <row r="6" ht="15.75" customHeight="1" s="345">
      <c r="A6" s="210" t="inlineStr">
        <is>
          <t>IGNITE</t>
        </is>
      </c>
      <c r="B6" s="133">
        <f>IF(ISNUMBER(D6),B50+H42," ")</f>
        <v/>
      </c>
      <c r="C6" s="134" t="inlineStr">
        <is>
          <t>Per person</t>
        </is>
      </c>
      <c r="D6" s="243">
        <f>E49</f>
        <v/>
      </c>
      <c r="E6" s="133">
        <f>IF(ISNUMBER(D6), D6*B6, "")</f>
        <v/>
      </c>
      <c r="F6" s="133">
        <f>IF(ISNUMBER(D6),D6*B49," ")</f>
        <v/>
      </c>
      <c r="G6" s="133">
        <f>IF(ISNUMBER(D6), E6+F6, " ")</f>
        <v/>
      </c>
      <c r="H6" s="136">
        <f>$B$16</f>
        <v/>
      </c>
      <c r="I6" s="137">
        <f>IF(AND(ISNUMBER(G6), H6&lt;1), H50, "")</f>
        <v/>
      </c>
    </row>
    <row r="7" ht="15.75" customHeight="1" s="345">
      <c r="A7" s="210" t="inlineStr">
        <is>
          <t>ASCENT</t>
        </is>
      </c>
      <c r="B7" s="133">
        <f>IF(ISNUMBER(D7),B68+H60," ")</f>
        <v/>
      </c>
      <c r="C7" s="134" t="inlineStr">
        <is>
          <t>Per person</t>
        </is>
      </c>
      <c r="D7" s="243">
        <f>E67</f>
        <v/>
      </c>
      <c r="E7" s="133">
        <f>IF(ISNUMBER(D7), D7*B7, "")</f>
        <v/>
      </c>
      <c r="F7" s="133">
        <f>IF(ISNUMBER(D7),D7*B67," ")</f>
        <v/>
      </c>
      <c r="G7" s="133">
        <f>IF(ISNUMBER(D7), E7+F7, " ")</f>
        <v/>
      </c>
      <c r="H7" s="136">
        <f>$B$16</f>
        <v/>
      </c>
      <c r="I7" s="137">
        <f>IF(AND(ISNUMBER(G7), H7&lt;1), H68, "")</f>
        <v/>
      </c>
    </row>
    <row r="8" ht="15.75" customHeight="1" s="345">
      <c r="A8" s="210" t="inlineStr">
        <is>
          <t>SPARK 1</t>
        </is>
      </c>
      <c r="B8" s="133">
        <f>IF(ISNUMBER(D8),B84+H78," ")</f>
        <v/>
      </c>
      <c r="C8" s="134" t="inlineStr">
        <is>
          <t>Per person</t>
        </is>
      </c>
      <c r="D8" s="243">
        <f>E83</f>
        <v/>
      </c>
      <c r="E8" s="133">
        <f>IF(ISNUMBER(D8), D8*B8, "")</f>
        <v/>
      </c>
      <c r="F8" s="133">
        <f>IF(ISNUMBER(D8),D8*B83," ")</f>
        <v/>
      </c>
      <c r="G8" s="133">
        <f>IF(ISNUMBER(D8), E8+F8, " ")</f>
        <v/>
      </c>
      <c r="H8" s="136">
        <f>$B$16</f>
        <v/>
      </c>
      <c r="I8" s="137">
        <f>IF(AND(ISNUMBER(G8), H8&lt;1), H84, "")</f>
        <v/>
      </c>
    </row>
    <row r="9" ht="15.75" customHeight="1" s="345">
      <c r="A9" s="212" t="inlineStr">
        <is>
          <t>SPARK 2</t>
        </is>
      </c>
      <c r="B9" s="139">
        <f>IF(ISNUMBER(D9),B102+H95," ")</f>
        <v/>
      </c>
      <c r="C9" s="140" t="inlineStr">
        <is>
          <t>Per person</t>
        </is>
      </c>
      <c r="D9" s="243">
        <f>E101</f>
        <v/>
      </c>
      <c r="E9" s="133">
        <f>IF(ISNUMBER(D9), D9*B9, "")</f>
        <v/>
      </c>
      <c r="F9" s="133">
        <f>IF(ISNUMBER(D9),D9*B101," ")</f>
        <v/>
      </c>
      <c r="G9" s="133">
        <f>IF(ISNUMBER(D9), E9+F9, " ")</f>
        <v/>
      </c>
      <c r="H9" s="136">
        <f>$B$16</f>
        <v/>
      </c>
      <c r="I9" s="179">
        <f>IF(AND(ISNUMBER(G9), H9&lt;1), H102, "")</f>
        <v/>
      </c>
    </row>
    <row r="10" ht="15.75" customHeight="1" s="345">
      <c r="A10" s="213" t="inlineStr">
        <is>
          <t>AIIR Vista (6 months)</t>
        </is>
      </c>
      <c r="B10" s="244">
        <f>IF(ISNUMBER(D10),B120+H111," ")</f>
        <v/>
      </c>
      <c r="C10" s="214" t="inlineStr">
        <is>
          <t>Per person</t>
        </is>
      </c>
      <c r="D10" s="245">
        <f>E119</f>
        <v/>
      </c>
      <c r="E10" s="133">
        <f>IF(ISNUMBER(D10), D10*B10, "")</f>
        <v/>
      </c>
      <c r="F10" s="133">
        <f>IF(ISNUMBER(D10),D10*B119," ")</f>
        <v/>
      </c>
      <c r="G10" s="133">
        <f>IF(ISNUMBER(D10), E10+F10, " ")</f>
        <v/>
      </c>
      <c r="H10" s="136">
        <f>$B$16</f>
        <v/>
      </c>
      <c r="I10" s="246">
        <f>IF(AND(ISNUMBER(G10), H10&lt;1), H120, "")</f>
        <v/>
      </c>
    </row>
    <row r="11" ht="15.75" customHeight="1" s="345">
      <c r="A11" s="215" t="inlineStr">
        <is>
          <t>AIIR Vista (12 months)</t>
        </is>
      </c>
      <c r="B11" s="247">
        <f>IF(ISNUMBER(D11),B138+H129," ")</f>
        <v/>
      </c>
      <c r="C11" s="216" t="inlineStr">
        <is>
          <t>Per person</t>
        </is>
      </c>
      <c r="D11" s="248">
        <f>E137</f>
        <v/>
      </c>
      <c r="E11" s="157">
        <f>IF(ISNUMBER(D11), D11*B11, "")</f>
        <v/>
      </c>
      <c r="F11" s="157">
        <f>IF(ISNUMBER(D11),D11*B137," ")</f>
        <v/>
      </c>
      <c r="G11" s="157">
        <f>IF(ISNUMBER(D11), E11+F11, " ")</f>
        <v/>
      </c>
      <c r="H11" s="160">
        <f>$B$16</f>
        <v/>
      </c>
      <c r="I11" s="249">
        <f>IF(AND(ISNUMBER(G11), H11&lt;1), H138, "")</f>
        <v/>
      </c>
    </row>
    <row r="12" ht="15.75" customHeight="1" s="345">
      <c r="A12" s="218" t="inlineStr">
        <is>
          <t>EXECUTIVE COACHING TOTAL:</t>
        </is>
      </c>
      <c r="B12" s="163" t="n"/>
      <c r="C12" s="164" t="n"/>
      <c r="D12" s="250" t="n"/>
      <c r="E12" s="163">
        <f>SUM(E3:E9)</f>
        <v/>
      </c>
      <c r="F12" s="163">
        <f>SUM(F3:F9)</f>
        <v/>
      </c>
      <c r="G12" s="163">
        <f>SUM(G3:G9)</f>
        <v/>
      </c>
      <c r="H12" s="165" t="n"/>
      <c r="I12" s="166">
        <f>SUM(I3:I9)</f>
        <v/>
      </c>
    </row>
    <row r="13" ht="15.75" customHeight="1" s="345">
      <c r="A13" s="236" t="n"/>
      <c r="B13" s="236" t="n"/>
      <c r="C13" s="236" t="n"/>
      <c r="D13" s="236" t="n"/>
      <c r="E13" s="236" t="n"/>
      <c r="F13" s="236" t="n"/>
      <c r="G13" s="236" t="n"/>
      <c r="H13" s="236" t="n"/>
    </row>
    <row r="14" ht="15.75" customHeight="1" s="345">
      <c r="A14" s="251" t="inlineStr">
        <is>
          <t>Set Bill Rate and Margin for the Engagement</t>
        </is>
      </c>
      <c r="B14" s="252" t="n"/>
      <c r="C14" s="253" t="n"/>
      <c r="D14" s="254" t="inlineStr">
        <is>
          <t>Coach Hourly Rate Table</t>
        </is>
      </c>
      <c r="E14" s="255" t="inlineStr">
        <is>
          <t>Tier 1</t>
        </is>
      </c>
      <c r="F14" s="255" t="inlineStr">
        <is>
          <t>Tier 2</t>
        </is>
      </c>
      <c r="G14" s="256" t="inlineStr">
        <is>
          <t>C-Suite</t>
        </is>
      </c>
      <c r="H14" s="253" t="n"/>
    </row>
    <row r="15" ht="15.75" customHeight="1" s="345">
      <c r="A15" s="257" t="inlineStr">
        <is>
          <t>Coaching Bill Rate:</t>
        </is>
      </c>
      <c r="B15" s="258" t="n">
        <v>350</v>
      </c>
      <c r="C15" s="253" t="n"/>
      <c r="D15" s="259" t="inlineStr">
        <is>
          <t>Mature Market</t>
        </is>
      </c>
      <c r="E15" s="260" t="n">
        <v>350</v>
      </c>
      <c r="F15" s="260" t="n">
        <v>250</v>
      </c>
      <c r="G15" s="261" t="n">
        <v>600</v>
      </c>
      <c r="H15" s="253" t="n"/>
    </row>
    <row r="16" ht="15.75" customHeight="1" s="345">
      <c r="A16" s="262" t="inlineStr">
        <is>
          <t>Margin:</t>
        </is>
      </c>
      <c r="B16" s="263" t="n">
        <v>0.65</v>
      </c>
      <c r="C16" s="253" t="n"/>
      <c r="D16" s="264" t="inlineStr">
        <is>
          <t>Emerging Market</t>
        </is>
      </c>
      <c r="E16" s="265" t="n">
        <v>300</v>
      </c>
      <c r="F16" s="265" t="n">
        <v>200</v>
      </c>
      <c r="G16" s="266" t="n">
        <v>500</v>
      </c>
      <c r="H16" s="253" t="n"/>
    </row>
    <row r="17" ht="15.75" customHeight="1" s="345">
      <c r="A17" s="267" t="n"/>
      <c r="B17" s="253" t="n"/>
      <c r="C17" s="253" t="n"/>
      <c r="D17" s="253" t="n"/>
      <c r="E17" s="253" t="n"/>
      <c r="F17" s="253" t="n"/>
      <c r="G17" s="253" t="n"/>
      <c r="H17" s="253" t="n"/>
    </row>
    <row r="18" ht="15.75" customHeight="1" s="345">
      <c r="A18" s="267" t="n"/>
      <c r="B18" s="253" t="n"/>
      <c r="C18" s="253" t="n"/>
      <c r="D18" s="253" t="n"/>
      <c r="E18" s="253" t="n"/>
      <c r="F18" s="253" t="n"/>
      <c r="G18" s="253" t="n"/>
      <c r="H18" s="253" t="n"/>
    </row>
    <row r="19" ht="15.75" customHeight="1" s="345">
      <c r="A19" s="268" t="inlineStr">
        <is>
          <t>ROADMAP</t>
        </is>
      </c>
      <c r="B19" s="269" t="n"/>
      <c r="C19" s="269" t="n"/>
      <c r="D19" s="269" t="n"/>
      <c r="E19" s="269" t="n"/>
      <c r="F19" s="269" t="n"/>
      <c r="G19" s="269" t="n"/>
      <c r="H19" s="269" t="n"/>
    </row>
    <row r="20" ht="15.75" customHeight="1" s="345">
      <c r="A20" s="270" t="inlineStr">
        <is>
          <t>Sessions</t>
        </is>
      </c>
      <c r="B20" s="270" t="inlineStr">
        <is>
          <t>Coaching Hours</t>
        </is>
      </c>
      <c r="C20" s="271" t="n"/>
      <c r="D20" s="270" t="inlineStr">
        <is>
          <t>Assessments &amp; Fees</t>
        </is>
      </c>
      <c r="E20" s="272" t="inlineStr">
        <is>
          <t>#</t>
        </is>
      </c>
      <c r="F20" s="270" t="inlineStr">
        <is>
          <t>Rate</t>
        </is>
      </c>
      <c r="G20" s="270" t="inlineStr">
        <is>
          <t>Cost</t>
        </is>
      </c>
      <c r="H20" s="271" t="n"/>
    </row>
    <row r="21" ht="15.75" customHeight="1" s="345">
      <c r="A21" s="271" t="inlineStr">
        <is>
          <t>Initial Coaching Session</t>
        </is>
      </c>
      <c r="B21" s="273" t="n">
        <v>0.5</v>
      </c>
      <c r="C21" s="271" t="n"/>
      <c r="D21" s="271" t="inlineStr">
        <is>
          <t>Coaching Zone Fee - months</t>
        </is>
      </c>
      <c r="E21" s="273" t="n">
        <v>6</v>
      </c>
      <c r="F21" s="274" t="n">
        <v>75</v>
      </c>
      <c r="G21" s="274">
        <f>E21*F21</f>
        <v/>
      </c>
      <c r="H21" s="271" t="n"/>
    </row>
    <row r="22" ht="15.75" customHeight="1" s="345">
      <c r="A22" s="271" t="inlineStr">
        <is>
          <t>Stakeholder 1: Agenda Setting Meeting</t>
        </is>
      </c>
      <c r="B22" s="273" t="n">
        <v>1</v>
      </c>
      <c r="C22" s="271" t="n"/>
      <c r="D22" s="271" t="inlineStr">
        <is>
          <t>LD12 360º</t>
        </is>
      </c>
      <c r="E22" s="275" t="n">
        <v>1</v>
      </c>
      <c r="F22" s="274" t="n">
        <v>350</v>
      </c>
      <c r="G22" s="274">
        <f>E22*F22</f>
        <v/>
      </c>
      <c r="H22" s="271" t="n"/>
    </row>
    <row r="23" ht="15.75" customHeight="1" s="345">
      <c r="A23" s="271" t="inlineStr">
        <is>
          <t>Developmental History Interview</t>
        </is>
      </c>
      <c r="B23" s="273" t="n">
        <v>1.5</v>
      </c>
      <c r="C23" s="271" t="n"/>
      <c r="D23" s="271" t="inlineStr">
        <is>
          <t>LD12</t>
        </is>
      </c>
      <c r="E23" s="276" t="n"/>
      <c r="F23" s="274" t="n">
        <v>150</v>
      </c>
      <c r="G23" s="274">
        <f>E23*F23</f>
        <v/>
      </c>
      <c r="H23" s="271" t="n"/>
    </row>
    <row r="24" ht="15.75" customHeight="1" s="345">
      <c r="A24" s="271" t="inlineStr">
        <is>
          <t>Assessment Feedback Session</t>
        </is>
      </c>
      <c r="B24" s="273" t="n">
        <v>2</v>
      </c>
      <c r="C24" s="271" t="n"/>
      <c r="D24" s="271" t="inlineStr">
        <is>
          <t>Hogan Insight</t>
        </is>
      </c>
      <c r="E24" s="276" t="n"/>
      <c r="F24" s="274" t="n">
        <v>300</v>
      </c>
      <c r="G24" s="274">
        <f>E24*F24</f>
        <v/>
      </c>
      <c r="H24" s="271" t="n"/>
    </row>
    <row r="25" ht="15.75" customHeight="1" s="345">
      <c r="A25" s="271" t="inlineStr">
        <is>
          <t>Development Planning Session</t>
        </is>
      </c>
      <c r="B25" s="273" t="n">
        <v>1</v>
      </c>
      <c r="C25" s="271" t="n"/>
      <c r="D25" s="271" t="inlineStr">
        <is>
          <t>TES</t>
        </is>
      </c>
      <c r="E25" s="276" t="n"/>
      <c r="F25" s="274" t="n">
        <v>500</v>
      </c>
      <c r="G25" s="274">
        <f>E25*F25</f>
        <v/>
      </c>
      <c r="H25" s="271" t="n"/>
    </row>
    <row r="26" ht="15.75" customHeight="1" s="345">
      <c r="A26" s="271" t="inlineStr">
        <is>
          <t>Stakeholder 2: Presentation of SDP</t>
        </is>
      </c>
      <c r="B26" s="273" t="n">
        <v>1</v>
      </c>
      <c r="C26" s="271" t="n"/>
      <c r="D26" s="277" t="inlineStr">
        <is>
          <t>Other:</t>
        </is>
      </c>
      <c r="E26" s="278" t="n"/>
      <c r="F26" s="279" t="n"/>
      <c r="G26" s="274">
        <f>E26*F26</f>
        <v/>
      </c>
      <c r="H26" s="280" t="n"/>
    </row>
    <row r="27" ht="15.75" customHeight="1" s="345">
      <c r="A27" s="271" t="inlineStr">
        <is>
          <t>5 Implementation Session</t>
        </is>
      </c>
      <c r="B27" s="273" t="n">
        <v>5</v>
      </c>
      <c r="C27" s="271" t="n"/>
      <c r="D27" s="281" t="inlineStr">
        <is>
          <t xml:space="preserve">Other: </t>
        </is>
      </c>
      <c r="E27" s="282" t="n"/>
      <c r="F27" s="282" t="n"/>
      <c r="G27" s="283">
        <f>E27*F27</f>
        <v/>
      </c>
      <c r="H27" s="281" t="n"/>
    </row>
    <row r="28" ht="15.75" customHeight="1" s="345">
      <c r="A28" s="281" t="inlineStr">
        <is>
          <t>Stakeholder 3: Wrap-Up Session</t>
        </is>
      </c>
      <c r="B28" s="284" t="n">
        <v>1</v>
      </c>
      <c r="C28" s="271" t="n"/>
      <c r="D28" s="277" t="n"/>
      <c r="E28" s="271" t="n"/>
      <c r="F28" s="285" t="n"/>
      <c r="G28" s="286" t="inlineStr">
        <is>
          <t>Total Assessments &amp; Fees per Participant:</t>
        </is>
      </c>
      <c r="H28" s="280">
        <f>SUM(G21:G27)</f>
        <v/>
      </c>
    </row>
    <row r="29" ht="15.75" customHeight="1" s="345">
      <c r="A29" s="287" t="inlineStr">
        <is>
          <t>Total Hours per Participant:</t>
        </is>
      </c>
      <c r="B29" s="287">
        <f>sum(B21:B28)</f>
        <v/>
      </c>
      <c r="C29" s="271" t="n"/>
      <c r="D29" s="288" t="n"/>
      <c r="E29" s="281" t="n"/>
      <c r="F29" s="281" t="n"/>
      <c r="G29" s="287" t="inlineStr">
        <is>
          <t>Total Services including margin:</t>
        </is>
      </c>
      <c r="H29" s="289">
        <f>B32/(1-$B$16)</f>
        <v/>
      </c>
    </row>
    <row r="30" ht="15.75" customHeight="1" s="345">
      <c r="A30" s="271" t="inlineStr">
        <is>
          <t>Total Coach Cost</t>
        </is>
      </c>
      <c r="B30" s="274">
        <f>B29*$B$15</f>
        <v/>
      </c>
      <c r="C30" s="271" t="n"/>
      <c r="D30" s="277" t="n"/>
      <c r="E30" s="271" t="n"/>
      <c r="F30" s="271" t="n"/>
      <c r="G30" s="286" t="inlineStr">
        <is>
          <t>Engagement Total Per Participant:</t>
        </is>
      </c>
      <c r="H30" s="280">
        <f>SUM(H26:H29)</f>
        <v/>
      </c>
    </row>
    <row r="31" ht="15.75" customHeight="1" s="345">
      <c r="A31" s="281" t="inlineStr">
        <is>
          <t>PM Fee (12%)</t>
        </is>
      </c>
      <c r="B31" s="290">
        <f>B30*0.12</f>
        <v/>
      </c>
      <c r="C31" s="271" t="n"/>
      <c r="D31" s="281" t="inlineStr">
        <is>
          <t># of Participants</t>
        </is>
      </c>
      <c r="E31" s="291" t="n"/>
      <c r="F31" s="281" t="n"/>
      <c r="G31" s="281" t="n"/>
      <c r="H31" s="281" t="n"/>
    </row>
    <row r="32" ht="15.75" customHeight="1" s="345">
      <c r="A32" s="286" t="inlineStr">
        <is>
          <t>Total Services Cost (without margin):</t>
        </is>
      </c>
      <c r="B32" s="272">
        <f>SUM(B30:B31)</f>
        <v/>
      </c>
      <c r="C32" s="271" t="n"/>
      <c r="D32" s="277" t="n"/>
      <c r="E32" s="285" t="n"/>
      <c r="F32" s="271" t="n"/>
      <c r="G32" s="286" t="inlineStr">
        <is>
          <t>Total for Engagement:</t>
        </is>
      </c>
      <c r="H32" s="272">
        <f>H30*E31</f>
        <v/>
      </c>
    </row>
    <row r="33" ht="15.75" customHeight="1" s="345">
      <c r="A33" s="253" t="n"/>
      <c r="B33" s="253" t="n"/>
      <c r="C33" s="253" t="n"/>
      <c r="D33" s="253" t="n"/>
      <c r="E33" s="292" t="n"/>
      <c r="F33" s="253" t="n"/>
      <c r="G33" s="253" t="n"/>
      <c r="H33" s="253" t="n"/>
      <c r="I33" s="6" t="n"/>
      <c r="J33" s="6" t="n"/>
    </row>
    <row r="34" ht="15.75" customHeight="1" s="345">
      <c r="A34" s="236" t="n"/>
      <c r="B34" s="236" t="n"/>
      <c r="C34" s="236" t="n"/>
      <c r="E34" s="293" t="n"/>
      <c r="F34" s="236" t="n"/>
      <c r="G34" s="236" t="n"/>
      <c r="H34" s="236" t="n"/>
    </row>
    <row r="35" ht="15.75" customHeight="1" s="345">
      <c r="A35" s="268" t="inlineStr">
        <is>
          <t>IGNITE</t>
        </is>
      </c>
      <c r="B35" s="269" t="n"/>
      <c r="C35" s="269" t="n"/>
      <c r="D35" s="269" t="n"/>
      <c r="E35" s="269" t="n"/>
      <c r="F35" s="269" t="n"/>
      <c r="G35" s="269" t="n"/>
      <c r="H35" s="269" t="n"/>
    </row>
    <row r="36" ht="15.75" customHeight="1" s="345">
      <c r="A36" s="294" t="inlineStr">
        <is>
          <t>Sessions</t>
        </is>
      </c>
      <c r="B36" s="294" t="inlineStr">
        <is>
          <t>Coaching Hours</t>
        </is>
      </c>
      <c r="C36" s="295" t="n"/>
      <c r="D36" s="294" t="inlineStr">
        <is>
          <t>Assessments &amp; Fees</t>
        </is>
      </c>
      <c r="E36" s="296" t="inlineStr">
        <is>
          <t>#</t>
        </is>
      </c>
      <c r="F36" s="294" t="inlineStr">
        <is>
          <t>Rate</t>
        </is>
      </c>
      <c r="G36" s="294" t="inlineStr">
        <is>
          <t>Cost</t>
        </is>
      </c>
      <c r="H36" s="295" t="n"/>
    </row>
    <row r="37" ht="15.75" customHeight="1" s="345">
      <c r="A37" s="295" t="inlineStr">
        <is>
          <t>Initial Coaching Session</t>
        </is>
      </c>
      <c r="B37" s="307" t="n">
        <v>0.5</v>
      </c>
      <c r="C37" s="298" t="inlineStr">
        <is>
          <t>Default: 30 min</t>
        </is>
      </c>
      <c r="D37" s="295" t="inlineStr">
        <is>
          <t>Coaching Zone Fee - months</t>
        </is>
      </c>
      <c r="E37" s="299" t="n">
        <v>9</v>
      </c>
      <c r="F37" s="301" t="n">
        <v>75</v>
      </c>
      <c r="G37" s="301">
        <f>E37*F37</f>
        <v/>
      </c>
      <c r="H37" s="295" t="n"/>
    </row>
    <row r="38" ht="15.75" customHeight="1" s="345">
      <c r="A38" s="295" t="inlineStr">
        <is>
          <t>Stakeholder 1: Agenda Setting Meeting</t>
        </is>
      </c>
      <c r="B38" s="307" t="n">
        <v>1</v>
      </c>
      <c r="C38" s="298" t="inlineStr">
        <is>
          <t>Default: 1 hr
Min: 30 min</t>
        </is>
      </c>
      <c r="D38" s="295" t="inlineStr">
        <is>
          <t>LD12 360º</t>
        </is>
      </c>
      <c r="E38" s="315" t="n">
        <v>0</v>
      </c>
      <c r="F38" s="301" t="n">
        <v>350</v>
      </c>
      <c r="G38" s="301">
        <f>E38*F38</f>
        <v/>
      </c>
      <c r="H38" s="295" t="n"/>
    </row>
    <row r="39" ht="15.75" customHeight="1" s="345">
      <c r="A39" s="295" t="inlineStr">
        <is>
          <t>Developmental History Interview</t>
        </is>
      </c>
      <c r="B39" s="307" t="n">
        <v>2</v>
      </c>
      <c r="C39" s="298" t="inlineStr">
        <is>
          <t>Default: 2 hrs
Min: 90 min</t>
        </is>
      </c>
      <c r="D39" s="295" t="inlineStr">
        <is>
          <t>LD12</t>
        </is>
      </c>
      <c r="E39" s="316" t="n">
        <v>1</v>
      </c>
      <c r="F39" s="301" t="n">
        <v>150</v>
      </c>
      <c r="G39" s="301">
        <f>E39*F39</f>
        <v/>
      </c>
      <c r="H39" s="295" t="n"/>
    </row>
    <row r="40" ht="15.75" customHeight="1" s="345">
      <c r="A40" s="295" t="inlineStr">
        <is>
          <t>Interview-based 360º (up to 8 interviews)</t>
        </is>
      </c>
      <c r="B40" s="307">
        <f>(45*8)/60</f>
        <v/>
      </c>
      <c r="C40" s="298" t="inlineStr">
        <is>
          <t>Default: 8 mtgs * 45 min each = 6 hrs
Min: 5 mtgs * 45 min each = 3.75 hrs</t>
        </is>
      </c>
      <c r="D40" s="295" t="inlineStr">
        <is>
          <t>Hogan Insight</t>
        </is>
      </c>
      <c r="E40" s="316" t="n">
        <v>1</v>
      </c>
      <c r="F40" s="301" t="n">
        <v>300</v>
      </c>
      <c r="G40" s="301">
        <f>E40*F40</f>
        <v/>
      </c>
      <c r="H40" s="295" t="n"/>
    </row>
    <row r="41" ht="15.75" customHeight="1" s="345">
      <c r="A41" s="295" t="inlineStr">
        <is>
          <t>Assessment Feedback Session</t>
        </is>
      </c>
      <c r="B41" s="307" t="n">
        <v>2</v>
      </c>
      <c r="C41" s="298" t="inlineStr">
        <is>
          <t>Default: 2 hrs
Min: 90 min</t>
        </is>
      </c>
      <c r="D41" s="304" t="inlineStr">
        <is>
          <t>TES</t>
        </is>
      </c>
      <c r="E41" s="305" t="n"/>
      <c r="F41" s="306" t="n">
        <v>500</v>
      </c>
      <c r="G41" s="306">
        <f>E41*F41</f>
        <v/>
      </c>
      <c r="H41" s="304" t="n"/>
    </row>
    <row r="42" ht="15.75" customHeight="1" s="345">
      <c r="A42" s="295" t="inlineStr">
        <is>
          <t>Development Planning Session</t>
        </is>
      </c>
      <c r="B42" s="307" t="n">
        <v>1</v>
      </c>
      <c r="C42" s="298" t="inlineStr">
        <is>
          <t>Default: 1 hr
Min: 0 hrs</t>
        </is>
      </c>
      <c r="D42" s="277" t="inlineStr">
        <is>
          <t>Other:</t>
        </is>
      </c>
      <c r="E42" s="278" t="n"/>
      <c r="F42" s="279" t="n"/>
      <c r="G42" s="274">
        <f>E42*F42</f>
        <v/>
      </c>
      <c r="H42" s="280" t="n"/>
    </row>
    <row r="43" ht="15.75" customHeight="1" s="345">
      <c r="A43" s="295" t="inlineStr">
        <is>
          <t>Stakeholder 2: Presentation of SDP</t>
        </is>
      </c>
      <c r="B43" s="307" t="n">
        <v>1</v>
      </c>
      <c r="C43" s="298" t="inlineStr">
        <is>
          <t>Default: 1 hr
Min: 30 min</t>
        </is>
      </c>
      <c r="D43" s="281" t="inlineStr">
        <is>
          <t xml:space="preserve">Other: </t>
        </is>
      </c>
      <c r="E43" s="282" t="n"/>
      <c r="F43" s="282" t="n"/>
      <c r="G43" s="283">
        <f>E43*F43</f>
        <v/>
      </c>
      <c r="H43" s="281" t="n"/>
    </row>
    <row r="44" ht="15.75" customHeight="1" s="345">
      <c r="A44" s="295" t="inlineStr">
        <is>
          <t>8 Implementation Sessions</t>
        </is>
      </c>
      <c r="B44" s="307" t="n">
        <v>8</v>
      </c>
      <c r="C44" s="298" t="inlineStr">
        <is>
          <t>Default/Always: 8 sessions * 1 hr each</t>
        </is>
      </c>
      <c r="D44" s="277" t="n"/>
      <c r="E44" s="271" t="n"/>
      <c r="F44" s="285" t="n"/>
      <c r="G44" s="286" t="inlineStr">
        <is>
          <t>Total Assessments &amp; Fees per Participant:</t>
        </is>
      </c>
      <c r="H44" s="280">
        <f>SUM(G37:G43)</f>
        <v/>
      </c>
    </row>
    <row r="45" ht="15.75" customHeight="1" s="345">
      <c r="A45" s="295" t="inlineStr">
        <is>
          <t xml:space="preserve">Stakeholder 3: Mid-Point Check In </t>
        </is>
      </c>
      <c r="B45" s="307" t="n">
        <v>1</v>
      </c>
      <c r="C45" s="298" t="inlineStr">
        <is>
          <t>Default: 1 hr
Min: 30 min</t>
        </is>
      </c>
      <c r="D45" s="295" t="n"/>
      <c r="E45" s="308" t="n"/>
      <c r="F45" s="295" t="n"/>
      <c r="G45" s="301" t="n"/>
      <c r="H45" s="295" t="n"/>
    </row>
    <row r="46" ht="15.75" customHeight="1" s="345">
      <c r="A46" s="304" t="inlineStr">
        <is>
          <t>Stakeholder 4: Wrap-Up Session</t>
        </is>
      </c>
      <c r="B46" s="309" t="n">
        <v>1</v>
      </c>
      <c r="C46" s="298" t="inlineStr">
        <is>
          <t>Default: 1 hr
Min: 30 min</t>
        </is>
      </c>
      <c r="D46" s="294" t="n"/>
      <c r="E46" s="295" t="n"/>
      <c r="F46" s="295" t="n"/>
      <c r="G46" s="295" t="n"/>
      <c r="H46" s="310" t="n"/>
    </row>
    <row r="47" ht="15.75" customHeight="1" s="345">
      <c r="A47" s="287" t="inlineStr">
        <is>
          <t>Total Hours per Participant:</t>
        </is>
      </c>
      <c r="B47" s="311">
        <f>sum(B37:B46)</f>
        <v/>
      </c>
      <c r="C47" s="298" t="inlineStr">
        <is>
          <t>Default: 23 - 23.5 hrs
Min: 17.25 hrs</t>
        </is>
      </c>
      <c r="D47" s="288" t="n"/>
      <c r="E47" s="281" t="n"/>
      <c r="F47" s="281" t="n"/>
      <c r="G47" s="287" t="inlineStr">
        <is>
          <t>Total Services including margin:</t>
        </is>
      </c>
      <c r="H47" s="289">
        <f>B50/(1-$B$16)</f>
        <v/>
      </c>
    </row>
    <row r="48" ht="15.75" customHeight="1" s="345">
      <c r="A48" s="271" t="inlineStr">
        <is>
          <t>Total Coach Cost</t>
        </is>
      </c>
      <c r="B48" s="274">
        <f>B47*$B$15</f>
        <v/>
      </c>
      <c r="C48" s="295" t="n"/>
      <c r="D48" s="277" t="n"/>
      <c r="E48" s="271" t="n"/>
      <c r="F48" s="271" t="n"/>
      <c r="G48" s="286" t="inlineStr">
        <is>
          <t>Engagement Total Per Participant:</t>
        </is>
      </c>
      <c r="H48" s="280">
        <f>SUM(H42:H47)</f>
        <v/>
      </c>
    </row>
    <row r="49" ht="15.75" customHeight="1" s="345">
      <c r="A49" s="281" t="inlineStr">
        <is>
          <t>PM Fee (12%)</t>
        </is>
      </c>
      <c r="B49" s="290">
        <f>B48*0.12</f>
        <v/>
      </c>
      <c r="C49" s="295" t="n"/>
      <c r="D49" s="281" t="inlineStr">
        <is>
          <t># of Participants</t>
        </is>
      </c>
      <c r="E49" s="291" t="n"/>
      <c r="F49" s="281" t="n"/>
      <c r="G49" s="281" t="n"/>
      <c r="H49" s="281" t="n"/>
    </row>
    <row r="50" ht="15.75" customHeight="1" s="345">
      <c r="A50" s="286" t="inlineStr">
        <is>
          <t>Total Services Cost (without margin):</t>
        </is>
      </c>
      <c r="B50" s="272">
        <f>SUM(B48:B49)</f>
        <v/>
      </c>
      <c r="C50" s="295" t="n"/>
      <c r="D50" s="277" t="n"/>
      <c r="E50" s="285" t="n"/>
      <c r="F50" s="271" t="n"/>
      <c r="G50" s="286" t="inlineStr">
        <is>
          <t>Total for Engagement:</t>
        </is>
      </c>
      <c r="H50" s="272">
        <f>H48*E49</f>
        <v/>
      </c>
    </row>
    <row r="51" ht="15.75" customHeight="1" s="345">
      <c r="A51" s="312" t="n"/>
      <c r="B51" s="313" t="n"/>
      <c r="C51" s="236" t="n"/>
      <c r="D51" s="236" t="n"/>
      <c r="E51" s="314" t="n"/>
      <c r="F51" s="236" t="n"/>
      <c r="G51" s="236" t="n"/>
      <c r="H51" s="236" t="n"/>
    </row>
    <row r="52" ht="15.75" customHeight="1" s="345">
      <c r="A52" s="236" t="n"/>
      <c r="B52" s="236" t="n"/>
      <c r="C52" s="236" t="n"/>
      <c r="D52" s="236" t="n"/>
      <c r="E52" s="314" t="n"/>
      <c r="F52" s="236" t="n"/>
      <c r="G52" s="236" t="n"/>
      <c r="H52" s="236" t="n"/>
    </row>
    <row r="53" ht="15.75" customHeight="1" s="345">
      <c r="A53" s="268" t="inlineStr">
        <is>
          <t>ASCENT</t>
        </is>
      </c>
      <c r="B53" s="269" t="n"/>
      <c r="C53" s="269" t="n"/>
      <c r="D53" s="269" t="n"/>
      <c r="E53" s="269" t="n"/>
      <c r="F53" s="269" t="n"/>
      <c r="G53" s="269" t="n"/>
      <c r="H53" s="269" t="n"/>
    </row>
    <row r="54" ht="15.75" customHeight="1" s="345">
      <c r="A54" s="294" t="inlineStr">
        <is>
          <t>Sessions</t>
        </is>
      </c>
      <c r="B54" s="294" t="inlineStr">
        <is>
          <t>Coaching Hours</t>
        </is>
      </c>
      <c r="C54" s="295" t="n"/>
      <c r="D54" s="294" t="inlineStr">
        <is>
          <t>Assessments &amp; Fees</t>
        </is>
      </c>
      <c r="E54" s="296" t="inlineStr">
        <is>
          <t>#</t>
        </is>
      </c>
      <c r="F54" s="294" t="inlineStr">
        <is>
          <t>Rate</t>
        </is>
      </c>
      <c r="G54" s="294" t="inlineStr">
        <is>
          <t>Cost</t>
        </is>
      </c>
      <c r="H54" s="295" t="n"/>
    </row>
    <row r="55" ht="15.75" customHeight="1" s="345">
      <c r="A55" s="295" t="inlineStr">
        <is>
          <t>Initial Coaching Session</t>
        </is>
      </c>
      <c r="B55" s="307" t="n">
        <v>0.5</v>
      </c>
      <c r="C55" s="295" t="n"/>
      <c r="D55" s="295" t="inlineStr">
        <is>
          <t>Coaching Zone Fee - months</t>
        </is>
      </c>
      <c r="E55" s="299" t="n">
        <v>12</v>
      </c>
      <c r="F55" s="301" t="n">
        <v>50</v>
      </c>
      <c r="G55" s="301">
        <f>E55*F55</f>
        <v/>
      </c>
      <c r="H55" s="295" t="n"/>
    </row>
    <row r="56" ht="15.75" customHeight="1" s="345">
      <c r="A56" s="295" t="inlineStr">
        <is>
          <t>Stakeholder 1: Agenda Setting Meeting</t>
        </is>
      </c>
      <c r="B56" s="307" t="n">
        <v>1</v>
      </c>
      <c r="C56" s="295" t="n"/>
      <c r="D56" s="295" t="inlineStr">
        <is>
          <t>LD12 360º</t>
        </is>
      </c>
      <c r="E56" s="315" t="n">
        <v>1</v>
      </c>
      <c r="F56" s="301" t="n">
        <v>350</v>
      </c>
      <c r="G56" s="301">
        <f>E56*F56</f>
        <v/>
      </c>
      <c r="H56" s="295" t="n"/>
    </row>
    <row r="57" ht="15.75" customHeight="1" s="345">
      <c r="A57" s="295" t="inlineStr">
        <is>
          <t>Developmental History Interview</t>
        </is>
      </c>
      <c r="B57" s="307" t="n">
        <v>2</v>
      </c>
      <c r="C57" s="295" t="n"/>
      <c r="D57" s="295" t="inlineStr">
        <is>
          <t>LD12</t>
        </is>
      </c>
      <c r="E57" s="316" t="n"/>
      <c r="F57" s="301" t="n">
        <v>150</v>
      </c>
      <c r="G57" s="301">
        <f>E57*F57</f>
        <v/>
      </c>
      <c r="H57" s="295" t="n"/>
    </row>
    <row r="58" ht="15.75" customHeight="1" s="345">
      <c r="A58" s="295" t="inlineStr">
        <is>
          <t>Interview-based 360º (up to 8 interviews)</t>
        </is>
      </c>
      <c r="B58" s="307">
        <f>(12*45)/60</f>
        <v/>
      </c>
      <c r="C58" s="295" t="n"/>
      <c r="D58" s="295" t="inlineStr">
        <is>
          <t>Hogan Insight</t>
        </is>
      </c>
      <c r="E58" s="316" t="n"/>
      <c r="F58" s="301" t="n">
        <v>300</v>
      </c>
      <c r="G58" s="301">
        <f>E58*F58</f>
        <v/>
      </c>
      <c r="H58" s="295" t="n"/>
    </row>
    <row r="59" ht="15.75" customHeight="1" s="345">
      <c r="A59" s="295" t="inlineStr">
        <is>
          <t>Assessment Feedback Session</t>
        </is>
      </c>
      <c r="B59" s="307" t="n">
        <v>2</v>
      </c>
      <c r="C59" s="295" t="n"/>
      <c r="D59" s="295" t="inlineStr">
        <is>
          <t>TES</t>
        </is>
      </c>
      <c r="E59" s="316" t="n"/>
      <c r="F59" s="301" t="n">
        <v>500</v>
      </c>
      <c r="G59" s="301">
        <f>E59*F59</f>
        <v/>
      </c>
      <c r="H59" s="295" t="n"/>
    </row>
    <row r="60" ht="15.75" customHeight="1" s="345">
      <c r="A60" s="295" t="inlineStr">
        <is>
          <t>Development Planning Session</t>
        </is>
      </c>
      <c r="B60" s="307" t="n">
        <v>1</v>
      </c>
      <c r="C60" s="295" t="n"/>
      <c r="D60" s="277" t="inlineStr">
        <is>
          <t>Other:</t>
        </is>
      </c>
      <c r="E60" s="278" t="n"/>
      <c r="F60" s="279" t="n"/>
      <c r="G60" s="274">
        <f>E60*F60</f>
        <v/>
      </c>
      <c r="H60" s="280" t="n"/>
    </row>
    <row r="61" ht="15.75" customHeight="1" s="345">
      <c r="A61" s="295" t="inlineStr">
        <is>
          <t>Stakeholder 2: Presentation of SDP</t>
        </is>
      </c>
      <c r="B61" s="307" t="n">
        <v>1</v>
      </c>
      <c r="C61" s="295" t="n"/>
      <c r="D61" s="281" t="inlineStr">
        <is>
          <t xml:space="preserve">Other: </t>
        </is>
      </c>
      <c r="E61" s="282" t="n"/>
      <c r="F61" s="282" t="n"/>
      <c r="G61" s="283">
        <f>E61*F61</f>
        <v/>
      </c>
      <c r="H61" s="281" t="n"/>
    </row>
    <row r="62" ht="15.75" customHeight="1" s="345">
      <c r="A62" s="295" t="inlineStr">
        <is>
          <t>8 Implementation Sessions</t>
        </is>
      </c>
      <c r="B62" s="307" t="n">
        <v>12</v>
      </c>
      <c r="C62" s="295" t="n"/>
      <c r="D62" s="277" t="n"/>
      <c r="E62" s="271" t="n"/>
      <c r="F62" s="285" t="n"/>
      <c r="G62" s="286" t="inlineStr">
        <is>
          <t>Total Assessments &amp; Fees per Participant:</t>
        </is>
      </c>
      <c r="H62" s="280">
        <f>SUM(G55:G61)</f>
        <v/>
      </c>
    </row>
    <row r="63" ht="15.75" customHeight="1" s="345">
      <c r="A63" s="295" t="inlineStr">
        <is>
          <t xml:space="preserve">Stakeholder 3: Mid-Point Check In </t>
        </is>
      </c>
      <c r="B63" s="307" t="n">
        <v>1</v>
      </c>
      <c r="C63" s="295" t="n"/>
      <c r="D63" s="295" t="n"/>
      <c r="E63" s="308" t="n"/>
      <c r="F63" s="295" t="n"/>
      <c r="G63" s="301" t="n"/>
      <c r="H63" s="295" t="n"/>
    </row>
    <row r="64" ht="15.75" customHeight="1" s="345">
      <c r="A64" s="304" t="inlineStr">
        <is>
          <t>Stakeholder 4: Wrap-Up Session</t>
        </is>
      </c>
      <c r="B64" s="309" t="n">
        <v>1</v>
      </c>
      <c r="C64" s="295" t="n"/>
      <c r="D64" s="294" t="n"/>
      <c r="E64" s="295" t="n"/>
      <c r="F64" s="295" t="n"/>
      <c r="G64" s="295" t="n"/>
      <c r="H64" s="310" t="n"/>
    </row>
    <row r="65" ht="15.75" customHeight="1" s="345">
      <c r="A65" s="287" t="inlineStr">
        <is>
          <t>Total Hours per Participant:</t>
        </is>
      </c>
      <c r="B65" s="317">
        <f>sum(B55:B64)</f>
        <v/>
      </c>
      <c r="C65" s="295" t="n"/>
      <c r="D65" s="288" t="n"/>
      <c r="E65" s="281" t="n"/>
      <c r="F65" s="281" t="n"/>
      <c r="G65" s="287" t="inlineStr">
        <is>
          <t>Total Services including margin:</t>
        </is>
      </c>
      <c r="H65" s="289">
        <f>B68/(1-$B$16)</f>
        <v/>
      </c>
    </row>
    <row r="66" ht="15.75" customHeight="1" s="345">
      <c r="A66" s="271" t="inlineStr">
        <is>
          <t>Total Coach Cost</t>
        </is>
      </c>
      <c r="B66" s="274">
        <f>B65*$B$15</f>
        <v/>
      </c>
      <c r="C66" s="295" t="n"/>
      <c r="D66" s="277" t="n"/>
      <c r="E66" s="271" t="n"/>
      <c r="F66" s="271" t="n"/>
      <c r="G66" s="286" t="inlineStr">
        <is>
          <t>Engagement Total Per Participant:</t>
        </is>
      </c>
      <c r="H66" s="280">
        <f>SUM(H60:H65)</f>
        <v/>
      </c>
    </row>
    <row r="67" ht="15.75" customHeight="1" s="345">
      <c r="A67" s="281" t="inlineStr">
        <is>
          <t>PM Fee (12%)</t>
        </is>
      </c>
      <c r="B67" s="290">
        <f>B66*0.12</f>
        <v/>
      </c>
      <c r="C67" s="295" t="n"/>
      <c r="D67" s="281" t="inlineStr">
        <is>
          <t># of Participants</t>
        </is>
      </c>
      <c r="E67" s="291" t="n"/>
      <c r="F67" s="281" t="n"/>
      <c r="G67" s="281" t="n"/>
      <c r="H67" s="281" t="n"/>
    </row>
    <row r="68" ht="15.75" customHeight="1" s="345">
      <c r="A68" s="286" t="inlineStr">
        <is>
          <t>Total Services Cost (without margin):</t>
        </is>
      </c>
      <c r="B68" s="272">
        <f>SUM(B66:B67)</f>
        <v/>
      </c>
      <c r="C68" s="295" t="n"/>
      <c r="D68" s="277" t="n"/>
      <c r="E68" s="285" t="n"/>
      <c r="F68" s="271" t="n"/>
      <c r="G68" s="286" t="inlineStr">
        <is>
          <t>Total for Engagement:</t>
        </is>
      </c>
      <c r="H68" s="272">
        <f>H66*E67</f>
        <v/>
      </c>
    </row>
    <row r="69" ht="15.75" customHeight="1" s="345">
      <c r="A69" s="236" t="n"/>
      <c r="B69" s="236" t="n"/>
      <c r="C69" s="236" t="n"/>
      <c r="D69" s="236" t="n"/>
      <c r="E69" s="236" t="n"/>
      <c r="F69" s="236" t="n"/>
      <c r="G69" s="236" t="n"/>
      <c r="H69" s="236" t="n"/>
    </row>
    <row r="70" ht="15.75" customHeight="1" s="345">
      <c r="A70" s="318" t="n"/>
      <c r="B70" s="236" t="n"/>
      <c r="C70" s="236" t="n"/>
      <c r="D70" s="236" t="n"/>
      <c r="E70" s="236" t="n"/>
      <c r="F70" s="236" t="n"/>
      <c r="G70" s="236" t="n"/>
      <c r="H70" s="236" t="n"/>
    </row>
    <row r="71" ht="15.75" customHeight="1" s="345">
      <c r="A71" s="268" t="inlineStr">
        <is>
          <t>SPARK I</t>
        </is>
      </c>
      <c r="B71" s="269" t="n"/>
      <c r="C71" s="269" t="n"/>
      <c r="D71" s="269" t="n"/>
      <c r="E71" s="269" t="n"/>
      <c r="F71" s="269" t="n"/>
      <c r="G71" s="269" t="n"/>
      <c r="H71" s="269" t="n"/>
    </row>
    <row r="72" ht="15.75" customHeight="1" s="345">
      <c r="A72" s="294" t="inlineStr">
        <is>
          <t>Sessions</t>
        </is>
      </c>
      <c r="B72" s="294" t="inlineStr">
        <is>
          <t>Coaching Hours</t>
        </is>
      </c>
      <c r="C72" s="295" t="n"/>
      <c r="D72" s="294" t="inlineStr">
        <is>
          <t>Assessments &amp; Fees</t>
        </is>
      </c>
      <c r="E72" s="296" t="inlineStr">
        <is>
          <t>#</t>
        </is>
      </c>
      <c r="F72" s="294" t="inlineStr">
        <is>
          <t>Rate</t>
        </is>
      </c>
      <c r="G72" s="294" t="inlineStr">
        <is>
          <t>Cost</t>
        </is>
      </c>
      <c r="H72" s="295" t="n"/>
    </row>
    <row r="73" ht="15.75" customHeight="1" s="345">
      <c r="A73" s="236" t="inlineStr">
        <is>
          <t>Initial Coaching Session</t>
        </is>
      </c>
      <c r="B73" s="307" t="n">
        <v>0.5</v>
      </c>
      <c r="C73" s="295" t="n"/>
      <c r="D73" s="295" t="inlineStr">
        <is>
          <t>Coaching Zone Fee - months</t>
        </is>
      </c>
      <c r="E73" s="299" t="n">
        <v>4</v>
      </c>
      <c r="F73" s="301" t="n">
        <v>75</v>
      </c>
      <c r="G73" s="301">
        <f>E73*F73</f>
        <v/>
      </c>
      <c r="H73" s="295" t="n"/>
    </row>
    <row r="74" ht="15.75" customHeight="1" s="345">
      <c r="A74" s="236" t="inlineStr">
        <is>
          <t>Stakeholder 1: Agenda Setting Meeting</t>
        </is>
      </c>
      <c r="B74" s="307" t="n">
        <v>0.5</v>
      </c>
      <c r="C74" s="295" t="n"/>
      <c r="D74" s="295" t="inlineStr">
        <is>
          <t>LD12</t>
        </is>
      </c>
      <c r="E74" s="315" t="n">
        <v>1</v>
      </c>
      <c r="F74" s="301" t="n">
        <v>150</v>
      </c>
      <c r="G74" s="301">
        <f>E74*F74</f>
        <v/>
      </c>
      <c r="H74" s="295" t="n"/>
    </row>
    <row r="75" ht="15.75" customHeight="1" s="345">
      <c r="A75" s="236" t="inlineStr">
        <is>
          <t>Assessment Feedback Session</t>
        </is>
      </c>
      <c r="B75" s="307" t="n">
        <v>1.5</v>
      </c>
      <c r="C75" s="295" t="n"/>
      <c r="D75" s="295" t="inlineStr">
        <is>
          <t>Survey-based 360º</t>
        </is>
      </c>
      <c r="E75" s="316" t="n">
        <v>1</v>
      </c>
      <c r="F75" s="301" t="n">
        <v>350</v>
      </c>
      <c r="G75" s="301">
        <f>E75*F75</f>
        <v/>
      </c>
      <c r="H75" s="295" t="n"/>
    </row>
    <row r="76" ht="15.75" customHeight="1" s="345">
      <c r="A76" s="236" t="inlineStr">
        <is>
          <t>Development Planning Session</t>
        </is>
      </c>
      <c r="B76" s="307" t="n">
        <v>1</v>
      </c>
      <c r="C76" s="295" t="n"/>
      <c r="D76" s="295" t="inlineStr">
        <is>
          <t>Hogan Insight</t>
        </is>
      </c>
      <c r="E76" s="316" t="n">
        <v>1</v>
      </c>
      <c r="F76" s="301" t="n">
        <v>300</v>
      </c>
      <c r="G76" s="301">
        <f>E76*F76</f>
        <v/>
      </c>
      <c r="H76" s="295" t="n"/>
    </row>
    <row r="77" ht="15.75" customHeight="1" s="345">
      <c r="A77" s="236" t="inlineStr">
        <is>
          <t>3 Implementation Sessions</t>
        </is>
      </c>
      <c r="B77" s="307" t="n">
        <v>3</v>
      </c>
      <c r="C77" s="295" t="n"/>
      <c r="D77" s="295" t="inlineStr">
        <is>
          <t>Developmental History Survey</t>
        </is>
      </c>
      <c r="E77" s="316" t="n">
        <v>1</v>
      </c>
      <c r="F77" s="301" t="n">
        <v>60</v>
      </c>
      <c r="G77" s="301">
        <f>E77*F77</f>
        <v/>
      </c>
      <c r="H77" s="295" t="n"/>
    </row>
    <row r="78" ht="15.75" customHeight="1" s="345">
      <c r="A78" s="236" t="inlineStr">
        <is>
          <t>Stakeholder 2: Wrap-Up Session</t>
        </is>
      </c>
      <c r="B78" s="307" t="n">
        <v>0.5</v>
      </c>
      <c r="C78" s="295" t="n"/>
      <c r="D78" s="277" t="inlineStr">
        <is>
          <t>Other:</t>
        </is>
      </c>
      <c r="E78" s="278" t="n"/>
      <c r="F78" s="279" t="n"/>
      <c r="G78" s="274">
        <f>E78*F78</f>
        <v/>
      </c>
      <c r="H78" s="280" t="n"/>
    </row>
    <row r="79" ht="15.75" customHeight="1" s="345">
      <c r="A79" s="287" t="inlineStr">
        <is>
          <t>Total Hours per Participant:</t>
        </is>
      </c>
      <c r="B79" s="311">
        <f>sum(B73:B78)</f>
        <v/>
      </c>
      <c r="C79" s="295" t="n"/>
      <c r="D79" s="281" t="inlineStr">
        <is>
          <t xml:space="preserve">Other: </t>
        </is>
      </c>
      <c r="E79" s="282" t="n"/>
      <c r="F79" s="282" t="n"/>
      <c r="G79" s="283">
        <f>E79*F79</f>
        <v/>
      </c>
      <c r="H79" s="281" t="n"/>
    </row>
    <row r="80" ht="15.75" customHeight="1" s="345">
      <c r="A80" s="271" t="n"/>
      <c r="B80" s="274" t="n"/>
      <c r="C80" s="295" t="n"/>
      <c r="D80" s="277" t="n"/>
      <c r="E80" s="271" t="n"/>
      <c r="F80" s="285" t="n"/>
      <c r="G80" s="286" t="inlineStr">
        <is>
          <t>Total Assessments &amp; Fees per Participant:</t>
        </is>
      </c>
      <c r="H80" s="280">
        <f>SUM(G73:G79)</f>
        <v/>
      </c>
    </row>
    <row r="81" ht="15.75" customHeight="1" s="345">
      <c r="A81" s="271" t="n"/>
      <c r="B81" s="274" t="n"/>
      <c r="C81" s="295" t="n"/>
      <c r="D81" s="288" t="inlineStr">
        <is>
          <t>Total Services including margin</t>
        </is>
      </c>
      <c r="E81" s="281" t="n"/>
      <c r="F81" s="281" t="n"/>
      <c r="G81" s="281" t="n"/>
      <c r="H81" s="289">
        <f>B84/(1-$B$16)</f>
        <v/>
      </c>
    </row>
    <row r="82" ht="15.75" customHeight="1" s="345">
      <c r="A82" s="271" t="inlineStr">
        <is>
          <t>Total Coach Cost</t>
        </is>
      </c>
      <c r="B82" s="274">
        <f>B79*$B$15</f>
        <v/>
      </c>
      <c r="C82" s="295" t="n"/>
      <c r="D82" s="277" t="n"/>
      <c r="E82" s="271" t="n"/>
      <c r="F82" s="271" t="n"/>
      <c r="G82" s="286" t="inlineStr">
        <is>
          <t>Engagement Total Per Participant:</t>
        </is>
      </c>
      <c r="H82" s="280">
        <f>SUM(H76:H81)</f>
        <v/>
      </c>
    </row>
    <row r="83" ht="15.75" customHeight="1" s="345">
      <c r="A83" s="281" t="inlineStr">
        <is>
          <t>PM Fee (12%)</t>
        </is>
      </c>
      <c r="B83" s="290">
        <f>B82*0.12</f>
        <v/>
      </c>
      <c r="C83" s="295" t="n"/>
      <c r="D83" s="281" t="inlineStr">
        <is>
          <t># of Participants</t>
        </is>
      </c>
      <c r="E83" s="291" t="n"/>
      <c r="F83" s="281" t="n"/>
      <c r="G83" s="281" t="n"/>
      <c r="H83" s="281" t="n"/>
    </row>
    <row r="84" ht="15.75" customHeight="1" s="345">
      <c r="A84" s="286" t="inlineStr">
        <is>
          <t>Total Services Cost (without margin):</t>
        </is>
      </c>
      <c r="B84" s="272">
        <f>SUM(B82:B83)</f>
        <v/>
      </c>
      <c r="C84" s="295" t="n"/>
      <c r="D84" s="277" t="n"/>
      <c r="E84" s="285" t="n"/>
      <c r="F84" s="271" t="n"/>
      <c r="G84" s="286" t="inlineStr">
        <is>
          <t>Total for Engagement:</t>
        </is>
      </c>
      <c r="H84" s="272">
        <f>H82*E83</f>
        <v/>
      </c>
      <c r="U84" s="319" t="n"/>
    </row>
    <row r="85" ht="15.75" customHeight="1" s="345"/>
    <row r="86" ht="15.75" customHeight="1" s="345"/>
    <row r="87" ht="15.75" customHeight="1" s="345"/>
    <row r="88" ht="15.75" customHeight="1" s="345"/>
    <row r="89" ht="15.75" customHeight="1" s="345">
      <c r="A89" s="268" t="inlineStr">
        <is>
          <t>SPARK II</t>
        </is>
      </c>
      <c r="B89" s="269" t="n"/>
      <c r="C89" s="269" t="n"/>
      <c r="D89" s="269" t="n"/>
      <c r="E89" s="269" t="n"/>
      <c r="F89" s="269" t="n"/>
      <c r="G89" s="269" t="n"/>
      <c r="H89" s="269" t="n"/>
    </row>
    <row r="90" ht="15.75" customHeight="1" s="345">
      <c r="A90" s="294" t="inlineStr">
        <is>
          <t>Sessions</t>
        </is>
      </c>
      <c r="B90" s="294" t="inlineStr">
        <is>
          <t>Coaching Hours</t>
        </is>
      </c>
      <c r="C90" s="295" t="n"/>
      <c r="D90" s="294" t="inlineStr">
        <is>
          <t>Assessments &amp; Fees</t>
        </is>
      </c>
      <c r="E90" s="296" t="inlineStr">
        <is>
          <t>#</t>
        </is>
      </c>
      <c r="F90" s="294" t="inlineStr">
        <is>
          <t>Rate</t>
        </is>
      </c>
      <c r="G90" s="294" t="inlineStr">
        <is>
          <t>Cost</t>
        </is>
      </c>
      <c r="H90" s="295" t="n"/>
    </row>
    <row r="91" ht="15.75" customHeight="1" s="345">
      <c r="A91" s="295" t="inlineStr">
        <is>
          <t>Initial Coaching Session</t>
        </is>
      </c>
      <c r="B91" s="307" t="n">
        <v>0.5</v>
      </c>
      <c r="C91" s="295" t="n"/>
      <c r="D91" s="295" t="inlineStr">
        <is>
          <t>Coaching Zone Fee - months</t>
        </is>
      </c>
      <c r="E91" s="299" t="n">
        <v>5</v>
      </c>
      <c r="F91" s="301" t="n">
        <v>75</v>
      </c>
      <c r="G91" s="301">
        <f>E91*F91</f>
        <v/>
      </c>
      <c r="H91" s="295" t="n"/>
    </row>
    <row r="92" ht="15.75" customHeight="1" s="345">
      <c r="A92" s="295" t="inlineStr">
        <is>
          <t>Stakeholder 1: Agenda Setting Meeting</t>
        </is>
      </c>
      <c r="B92" s="307" t="n">
        <v>0.5</v>
      </c>
      <c r="C92" s="295" t="n"/>
      <c r="D92" s="295" t="inlineStr">
        <is>
          <t>LD12</t>
        </is>
      </c>
      <c r="E92" s="315" t="n">
        <v>1</v>
      </c>
      <c r="F92" s="301" t="n">
        <v>350</v>
      </c>
      <c r="G92" s="301">
        <f>E92*F92</f>
        <v/>
      </c>
      <c r="H92" s="295" t="n"/>
    </row>
    <row r="93" ht="15.75" customHeight="1" s="345">
      <c r="A93" s="295" t="inlineStr">
        <is>
          <t>Developmental History Interview</t>
        </is>
      </c>
      <c r="B93" s="307" t="n">
        <v>1</v>
      </c>
      <c r="C93" s="295" t="n"/>
      <c r="D93" s="295" t="inlineStr">
        <is>
          <t>Survey-based 360º</t>
        </is>
      </c>
      <c r="E93" s="316" t="n"/>
      <c r="F93" s="301" t="n">
        <v>150</v>
      </c>
      <c r="G93" s="301">
        <f>E93*F93</f>
        <v/>
      </c>
      <c r="H93" s="295" t="n"/>
    </row>
    <row r="94" ht="15.75" customHeight="1" s="345">
      <c r="A94" s="295" t="inlineStr">
        <is>
          <t>Assessment Feedback Session</t>
        </is>
      </c>
      <c r="B94" s="307" t="n">
        <v>1.5</v>
      </c>
      <c r="C94" s="295" t="n"/>
      <c r="D94" s="295" t="inlineStr">
        <is>
          <t>Hogan Insight</t>
        </is>
      </c>
      <c r="E94" s="316" t="n"/>
      <c r="F94" s="301" t="n">
        <v>300</v>
      </c>
      <c r="G94" s="301">
        <f>E94*F94</f>
        <v/>
      </c>
      <c r="H94" s="295" t="n"/>
    </row>
    <row r="95" ht="15.75" customHeight="1" s="345">
      <c r="A95" s="295" t="inlineStr">
        <is>
          <t>Development Planning Session</t>
        </is>
      </c>
      <c r="B95" s="307" t="n">
        <v>1</v>
      </c>
      <c r="C95" s="295" t="n"/>
      <c r="D95" s="277" t="inlineStr">
        <is>
          <t>Other:</t>
        </is>
      </c>
      <c r="E95" s="278" t="n"/>
      <c r="F95" s="279" t="n"/>
      <c r="G95" s="274">
        <f>E95*F95</f>
        <v/>
      </c>
      <c r="H95" s="280" t="n"/>
    </row>
    <row r="96" ht="15.75" customHeight="1" s="345">
      <c r="A96" s="295" t="inlineStr">
        <is>
          <t>Stakeholder 2: Presentation of SDP</t>
        </is>
      </c>
      <c r="B96" s="307" t="n">
        <v>0.5</v>
      </c>
      <c r="C96" s="295" t="n"/>
      <c r="D96" s="281" t="inlineStr">
        <is>
          <t xml:space="preserve">Other: </t>
        </is>
      </c>
      <c r="E96" s="282" t="n"/>
      <c r="F96" s="282" t="n"/>
      <c r="G96" s="283">
        <f>E96*F96</f>
        <v/>
      </c>
      <c r="H96" s="281" t="n"/>
    </row>
    <row r="97" ht="15.75" customHeight="1" s="345">
      <c r="A97" s="295" t="inlineStr">
        <is>
          <t>5 Implementation Sessions</t>
        </is>
      </c>
      <c r="B97" s="307" t="n">
        <v>5</v>
      </c>
      <c r="C97" s="295" t="n"/>
      <c r="D97" s="277" t="n"/>
      <c r="E97" s="271" t="n"/>
      <c r="F97" s="285" t="n"/>
      <c r="G97" s="286" t="inlineStr">
        <is>
          <t>Total Assessments &amp; Fees per Participant:</t>
        </is>
      </c>
      <c r="H97" s="280">
        <f>SUM(G90:G96)</f>
        <v/>
      </c>
    </row>
    <row r="98" ht="15.75" customHeight="1" s="345">
      <c r="A98" s="304" t="inlineStr">
        <is>
          <t>Stakeholder 3: Wrap-Up Session</t>
        </is>
      </c>
      <c r="B98" s="320" t="n">
        <v>0.5</v>
      </c>
      <c r="C98" s="295" t="n"/>
      <c r="D98" s="295" t="n"/>
      <c r="E98" s="308" t="n"/>
      <c r="F98" s="295" t="n"/>
      <c r="G98" s="301" t="n"/>
      <c r="H98" s="295" t="n"/>
    </row>
    <row r="99" ht="15.75" customHeight="1" s="345">
      <c r="A99" s="287" t="inlineStr">
        <is>
          <t>Total Hours per Participant:</t>
        </is>
      </c>
      <c r="B99" s="311">
        <f>sum(B91:B98)</f>
        <v/>
      </c>
      <c r="C99" s="295" t="n"/>
      <c r="D99" s="288" t="n"/>
      <c r="E99" s="281" t="n"/>
      <c r="F99" s="281" t="n"/>
      <c r="G99" s="287" t="inlineStr">
        <is>
          <t>Total Services including margin:</t>
        </is>
      </c>
      <c r="H99" s="289">
        <f>B102/(1-$B$16)</f>
        <v/>
      </c>
    </row>
    <row r="100" ht="15.75" customHeight="1" s="345">
      <c r="A100" s="271" t="inlineStr">
        <is>
          <t>Total Coach Cost</t>
        </is>
      </c>
      <c r="B100" s="274">
        <f>B99*$B$15</f>
        <v/>
      </c>
      <c r="C100" s="295" t="n"/>
      <c r="D100" s="277" t="n"/>
      <c r="E100" s="271" t="n"/>
      <c r="F100" s="271" t="n"/>
      <c r="G100" s="286" t="inlineStr">
        <is>
          <t>Engagement Total Per Participant:</t>
        </is>
      </c>
      <c r="H100" s="280">
        <f>SUM(H94:H99)</f>
        <v/>
      </c>
    </row>
    <row r="101" ht="15.75" customHeight="1" s="345">
      <c r="A101" s="281" t="inlineStr">
        <is>
          <t>PM Fee (12%)</t>
        </is>
      </c>
      <c r="B101" s="290">
        <f>B100*0.12</f>
        <v/>
      </c>
      <c r="C101" s="295" t="n"/>
      <c r="D101" s="281" t="inlineStr">
        <is>
          <t># of Participants</t>
        </is>
      </c>
      <c r="E101" s="291" t="n"/>
      <c r="F101" s="281" t="n"/>
      <c r="G101" s="281" t="n"/>
      <c r="H101" s="281" t="n"/>
    </row>
    <row r="102" ht="15.75" customHeight="1" s="345">
      <c r="A102" s="286" t="inlineStr">
        <is>
          <t>Total Services Cost (without margin):</t>
        </is>
      </c>
      <c r="B102" s="272">
        <f>SUM(B100:B101)</f>
        <v/>
      </c>
      <c r="C102" s="295" t="n"/>
      <c r="D102" s="277" t="n"/>
      <c r="E102" s="285" t="n"/>
      <c r="F102" s="271" t="n"/>
      <c r="G102" s="286" t="inlineStr">
        <is>
          <t>Total for Engagement:</t>
        </is>
      </c>
      <c r="H102" s="272">
        <f>H100*E101</f>
        <v/>
      </c>
    </row>
    <row r="103" ht="15.75" customHeight="1" s="345"/>
    <row r="104" ht="15.75" customHeight="1" s="345"/>
    <row r="105" ht="15.75" customHeight="1" s="345">
      <c r="A105" s="268" t="inlineStr">
        <is>
          <t>AIIR VISTA: 6 MONTHS</t>
        </is>
      </c>
      <c r="B105" s="269" t="n"/>
      <c r="C105" s="269" t="n"/>
      <c r="D105" s="269" t="n"/>
      <c r="E105" s="269" t="n"/>
      <c r="F105" s="269" t="n"/>
      <c r="G105" s="269" t="n"/>
      <c r="H105" s="269" t="n"/>
    </row>
    <row r="106" ht="15.75" customHeight="1" s="345">
      <c r="A106" s="294" t="inlineStr">
        <is>
          <t>Sessions</t>
        </is>
      </c>
      <c r="B106" s="294" t="inlineStr">
        <is>
          <t>Coaching Hours</t>
        </is>
      </c>
      <c r="C106" s="295" t="n"/>
      <c r="D106" s="294" t="inlineStr">
        <is>
          <t>Assessments &amp; Fees</t>
        </is>
      </c>
      <c r="E106" s="296" t="inlineStr">
        <is>
          <t>#</t>
        </is>
      </c>
      <c r="F106" s="294" t="inlineStr">
        <is>
          <t>Rate</t>
        </is>
      </c>
      <c r="G106" s="294" t="inlineStr">
        <is>
          <t>Cost</t>
        </is>
      </c>
      <c r="H106" s="295" t="n"/>
    </row>
    <row r="107" ht="15.75" customHeight="1" s="345">
      <c r="A107" s="295" t="inlineStr">
        <is>
          <t>Kick-off Meeting</t>
        </is>
      </c>
      <c r="B107" s="307" t="n">
        <v>0.5</v>
      </c>
      <c r="C107" s="295" t="n"/>
      <c r="D107" s="295" t="inlineStr">
        <is>
          <t>Coaching Zone Fee - months</t>
        </is>
      </c>
      <c r="E107" s="299" t="n">
        <v>6</v>
      </c>
      <c r="F107" s="301" t="n">
        <v>50</v>
      </c>
      <c r="G107" s="301">
        <f>E107*F107</f>
        <v/>
      </c>
      <c r="H107" s="295" t="n"/>
    </row>
    <row r="108" ht="15.75" customHeight="1" s="345">
      <c r="A108" s="295" t="inlineStr">
        <is>
          <t>Stakeholder 1: Agenda Setting Meeting</t>
        </is>
      </c>
      <c r="B108" s="307" t="n">
        <v>1</v>
      </c>
      <c r="C108" s="295" t="n"/>
      <c r="D108" s="295" t="inlineStr">
        <is>
          <t>LD12</t>
        </is>
      </c>
      <c r="E108" s="315" t="n">
        <v>1</v>
      </c>
      <c r="F108" s="301" t="n">
        <v>350</v>
      </c>
      <c r="G108" s="301">
        <f>E108*F108</f>
        <v/>
      </c>
      <c r="H108" s="295" t="n"/>
    </row>
    <row r="109" ht="15.75" customHeight="1" s="345">
      <c r="A109" s="295" t="inlineStr">
        <is>
          <t>Developmental History Interview</t>
        </is>
      </c>
      <c r="B109" s="307" t="n">
        <v>3</v>
      </c>
      <c r="C109" s="295" t="n"/>
      <c r="D109" s="295" t="inlineStr">
        <is>
          <t>Hogan Insight</t>
        </is>
      </c>
      <c r="E109" s="316" t="n"/>
      <c r="F109" s="301" t="n">
        <v>150</v>
      </c>
      <c r="G109" s="301">
        <f>E109*F109</f>
        <v/>
      </c>
      <c r="H109" s="295" t="n"/>
    </row>
    <row r="110" ht="15.75" customHeight="1" s="345">
      <c r="A110" s="295" t="inlineStr">
        <is>
          <t>Interview-based 360º (up to 8 interviews)</t>
        </is>
      </c>
      <c r="B110" s="307">
        <f>(45*8)/60</f>
        <v/>
      </c>
      <c r="C110" s="295" t="n"/>
      <c r="D110" s="295" t="inlineStr">
        <is>
          <t>TES</t>
        </is>
      </c>
      <c r="E110" s="316" t="n"/>
      <c r="F110" s="301" t="n">
        <v>300</v>
      </c>
      <c r="G110" s="301">
        <f>E110*F110</f>
        <v/>
      </c>
      <c r="H110" s="295" t="n"/>
    </row>
    <row r="111" ht="15.75" customHeight="1" s="345">
      <c r="A111" s="295" t="inlineStr">
        <is>
          <t>Assessment Feedback Session</t>
        </is>
      </c>
      <c r="B111" s="307" t="n">
        <v>2</v>
      </c>
      <c r="C111" s="295" t="n"/>
      <c r="D111" s="277" t="inlineStr">
        <is>
          <t>Other:</t>
        </is>
      </c>
      <c r="E111" s="278" t="n"/>
      <c r="F111" s="279" t="n"/>
      <c r="G111" s="274">
        <f>E111*F111</f>
        <v/>
      </c>
      <c r="H111" s="280" t="n"/>
    </row>
    <row r="112" ht="15.75" customHeight="1" s="345">
      <c r="A112" s="295" t="inlineStr">
        <is>
          <t>Development Planning Session</t>
        </is>
      </c>
      <c r="B112" s="307" t="n">
        <v>1</v>
      </c>
      <c r="C112" s="295" t="n"/>
      <c r="D112" s="281" t="inlineStr">
        <is>
          <t xml:space="preserve">Other: </t>
        </is>
      </c>
      <c r="E112" s="282" t="n"/>
      <c r="F112" s="282" t="n"/>
      <c r="G112" s="283">
        <f>E112*F112</f>
        <v/>
      </c>
      <c r="H112" s="281" t="n"/>
    </row>
    <row r="113" ht="15.75" customHeight="1" s="345">
      <c r="A113" s="295" t="inlineStr">
        <is>
          <t>Stakeholder 2: Presentation of SDP</t>
        </is>
      </c>
      <c r="B113" s="307" t="n">
        <v>1</v>
      </c>
      <c r="C113" s="295" t="n"/>
      <c r="D113" s="277" t="n"/>
      <c r="E113" s="271" t="n"/>
      <c r="F113" s="285" t="n"/>
      <c r="G113" s="286" t="inlineStr">
        <is>
          <t>Total Assessments &amp; Fees per Participant:</t>
        </is>
      </c>
      <c r="H113" s="280">
        <f>SUM(G106:G112)</f>
        <v/>
      </c>
    </row>
    <row r="114" ht="15.75" customHeight="1" s="345">
      <c r="A114" s="295" t="inlineStr">
        <is>
          <t>Implementation Session</t>
        </is>
      </c>
      <c r="B114" s="307" t="n">
        <v>8</v>
      </c>
      <c r="C114" s="295" t="n"/>
      <c r="D114" s="295" t="n"/>
      <c r="E114" s="308" t="n"/>
      <c r="F114" s="295" t="n"/>
      <c r="G114" s="301" t="n"/>
      <c r="H114" s="295" t="n"/>
    </row>
    <row r="115" ht="15.75" customHeight="1" s="345">
      <c r="A115" s="295" t="inlineStr">
        <is>
          <t xml:space="preserve">Stakeholder 3: Mid-Point Check In </t>
        </is>
      </c>
      <c r="B115" s="307" t="n">
        <v>1</v>
      </c>
      <c r="C115" s="295" t="n"/>
      <c r="D115" s="294" t="n"/>
      <c r="E115" s="295" t="n"/>
      <c r="F115" s="295" t="n"/>
      <c r="G115" s="295" t="n"/>
      <c r="H115" s="310" t="n"/>
    </row>
    <row r="116" ht="15.75" customHeight="1" s="345">
      <c r="A116" s="304" t="inlineStr">
        <is>
          <t>Stakeholder 4: Wrap-Up Session</t>
        </is>
      </c>
      <c r="B116" s="320" t="n">
        <v>1</v>
      </c>
      <c r="C116" s="295" t="n"/>
      <c r="D116" s="295" t="n"/>
      <c r="E116" s="295" t="n"/>
      <c r="F116" s="295" t="n"/>
      <c r="G116" s="295" t="n"/>
      <c r="H116" s="295" t="n"/>
    </row>
    <row r="117" ht="15.75" customHeight="1" s="345">
      <c r="A117" s="287" t="inlineStr">
        <is>
          <t>Total Hours per Participant:</t>
        </is>
      </c>
      <c r="B117" s="311">
        <f>sum(B107:B116)</f>
        <v/>
      </c>
      <c r="C117" s="295" t="n"/>
      <c r="D117" s="288" t="n"/>
      <c r="E117" s="281" t="n"/>
      <c r="F117" s="281" t="n"/>
      <c r="G117" s="287" t="inlineStr">
        <is>
          <t>Total Services including margin:</t>
        </is>
      </c>
      <c r="H117" s="289">
        <f>B120/(1-$B$16)</f>
        <v/>
      </c>
    </row>
    <row r="118" ht="15.75" customHeight="1" s="345">
      <c r="A118" s="271" t="inlineStr">
        <is>
          <t>Total Coach Cost</t>
        </is>
      </c>
      <c r="B118" s="274">
        <f>B117*$B$15</f>
        <v/>
      </c>
      <c r="C118" s="295" t="n"/>
      <c r="D118" s="277" t="n"/>
      <c r="E118" s="271" t="n"/>
      <c r="F118" s="271" t="n"/>
      <c r="G118" s="286" t="inlineStr">
        <is>
          <t>Engagement Total Per Participant:</t>
        </is>
      </c>
      <c r="H118" s="280">
        <f>SUM(H111:H117)</f>
        <v/>
      </c>
    </row>
    <row r="119" ht="15.75" customHeight="1" s="345">
      <c r="A119" s="281" t="inlineStr">
        <is>
          <t>PM Fee (12%)</t>
        </is>
      </c>
      <c r="B119" s="290">
        <f>B118*0.12</f>
        <v/>
      </c>
      <c r="C119" s="295" t="n"/>
      <c r="D119" s="281" t="inlineStr">
        <is>
          <t># of Participants</t>
        </is>
      </c>
      <c r="E119" s="291" t="n"/>
      <c r="F119" s="281" t="n"/>
      <c r="G119" s="281" t="n"/>
      <c r="H119" s="281" t="n"/>
    </row>
    <row r="120" ht="15.75" customHeight="1" s="345">
      <c r="A120" s="286" t="inlineStr">
        <is>
          <t>Total Services Cost (without margin):</t>
        </is>
      </c>
      <c r="B120" s="272">
        <f>SUM(B118:B119)</f>
        <v/>
      </c>
      <c r="C120" s="295" t="n"/>
      <c r="D120" s="277" t="n"/>
      <c r="E120" s="285" t="n"/>
      <c r="F120" s="271" t="n"/>
      <c r="G120" s="286" t="inlineStr">
        <is>
          <t>Total for Engagement:</t>
        </is>
      </c>
      <c r="H120" s="272">
        <f>H118*E119</f>
        <v/>
      </c>
    </row>
    <row r="121" ht="15.75" customHeight="1" s="345"/>
    <row r="122" ht="15.75" customHeight="1" s="345"/>
    <row r="123" ht="15.75" customHeight="1" s="345">
      <c r="A123" s="268" t="inlineStr">
        <is>
          <t>AIIR VISTA: 12 MONTHS</t>
        </is>
      </c>
      <c r="B123" s="269" t="n"/>
      <c r="C123" s="269" t="n"/>
      <c r="D123" s="269" t="n"/>
      <c r="E123" s="269" t="n"/>
      <c r="F123" s="269" t="n"/>
      <c r="G123" s="269" t="n"/>
      <c r="H123" s="269" t="n"/>
    </row>
    <row r="124" ht="15.75" customHeight="1" s="345">
      <c r="A124" s="294" t="inlineStr">
        <is>
          <t>Sessions</t>
        </is>
      </c>
      <c r="B124" s="294" t="inlineStr">
        <is>
          <t>Coaching Hours</t>
        </is>
      </c>
      <c r="C124" s="295" t="n"/>
      <c r="D124" s="294" t="inlineStr">
        <is>
          <t>Assessments &amp; Fees</t>
        </is>
      </c>
      <c r="E124" s="296" t="inlineStr">
        <is>
          <t>#</t>
        </is>
      </c>
      <c r="F124" s="294" t="inlineStr">
        <is>
          <t>Rate</t>
        </is>
      </c>
      <c r="G124" s="294" t="inlineStr">
        <is>
          <t>Cost</t>
        </is>
      </c>
      <c r="H124" s="295" t="n"/>
    </row>
    <row r="125" ht="15.75" customHeight="1" s="345">
      <c r="A125" s="295" t="inlineStr">
        <is>
          <t>Kick-off Meeting</t>
        </is>
      </c>
      <c r="B125" s="307" t="n">
        <v>0.5</v>
      </c>
      <c r="C125" s="295" t="n"/>
      <c r="D125" s="295" t="inlineStr">
        <is>
          <t>Coaching Zone Fee - months</t>
        </is>
      </c>
      <c r="E125" s="299" t="n">
        <v>6</v>
      </c>
      <c r="F125" s="301" t="n">
        <v>50</v>
      </c>
      <c r="G125" s="301">
        <f>E125*F125</f>
        <v/>
      </c>
      <c r="H125" s="295" t="n"/>
    </row>
    <row r="126" ht="15.75" customHeight="1" s="345">
      <c r="A126" s="295" t="inlineStr">
        <is>
          <t>Stakeholder 1: Agenda Setting Meeting</t>
        </is>
      </c>
      <c r="B126" s="307" t="n">
        <v>1</v>
      </c>
      <c r="C126" s="295" t="n"/>
      <c r="D126" s="295" t="inlineStr">
        <is>
          <t>LD12</t>
        </is>
      </c>
      <c r="E126" s="315" t="n">
        <v>1</v>
      </c>
      <c r="F126" s="301" t="n">
        <v>350</v>
      </c>
      <c r="G126" s="301">
        <f>E126*F126</f>
        <v/>
      </c>
      <c r="H126" s="295" t="n"/>
    </row>
    <row r="127" ht="15.75" customHeight="1" s="345">
      <c r="A127" s="295" t="inlineStr">
        <is>
          <t>Developmental History Interview</t>
        </is>
      </c>
      <c r="B127" s="307" t="n">
        <v>3</v>
      </c>
      <c r="C127" s="295" t="n"/>
      <c r="D127" s="295" t="inlineStr">
        <is>
          <t>Hogan Insight</t>
        </is>
      </c>
      <c r="E127" s="316" t="n"/>
      <c r="F127" s="301" t="n">
        <v>150</v>
      </c>
      <c r="G127" s="301">
        <f>E127*F127</f>
        <v/>
      </c>
      <c r="H127" s="295" t="n"/>
    </row>
    <row r="128" ht="15.75" customHeight="1" s="345">
      <c r="A128" s="295" t="inlineStr">
        <is>
          <t>Interview-based 360º (up to 8 interviews)</t>
        </is>
      </c>
      <c r="B128" s="307">
        <f>(12*45)/60</f>
        <v/>
      </c>
      <c r="C128" s="295" t="n"/>
      <c r="D128" s="295" t="inlineStr">
        <is>
          <t>TES</t>
        </is>
      </c>
      <c r="E128" s="316" t="n"/>
      <c r="F128" s="301" t="n">
        <v>300</v>
      </c>
      <c r="G128" s="301">
        <f>E128*F128</f>
        <v/>
      </c>
      <c r="H128" s="295" t="n"/>
    </row>
    <row r="129" ht="15.75" customHeight="1" s="345">
      <c r="A129" s="295" t="inlineStr">
        <is>
          <t>Assessment Feedback Session</t>
        </is>
      </c>
      <c r="B129" s="307" t="n">
        <v>2</v>
      </c>
      <c r="C129" s="295" t="n"/>
      <c r="D129" s="277" t="inlineStr">
        <is>
          <t>Other:</t>
        </is>
      </c>
      <c r="E129" s="278" t="n"/>
      <c r="F129" s="279" t="n"/>
      <c r="G129" s="274">
        <f>E129*F129</f>
        <v/>
      </c>
      <c r="H129" s="280" t="n"/>
    </row>
    <row r="130" ht="15.75" customHeight="1" s="345">
      <c r="A130" s="295" t="inlineStr">
        <is>
          <t>Development Planning Session</t>
        </is>
      </c>
      <c r="B130" s="307" t="n">
        <v>1</v>
      </c>
      <c r="C130" s="295" t="n"/>
      <c r="D130" s="281" t="inlineStr">
        <is>
          <t xml:space="preserve">Other: </t>
        </is>
      </c>
      <c r="E130" s="282" t="n"/>
      <c r="F130" s="282" t="n"/>
      <c r="G130" s="283">
        <f>E130*F130</f>
        <v/>
      </c>
      <c r="H130" s="281" t="n"/>
    </row>
    <row r="131" ht="15.75" customHeight="1" s="345">
      <c r="A131" s="295" t="inlineStr">
        <is>
          <t>Stakeholder 2: Presentation of SDP</t>
        </is>
      </c>
      <c r="B131" s="307" t="n">
        <v>1</v>
      </c>
      <c r="C131" s="295" t="n"/>
      <c r="D131" s="277" t="n"/>
      <c r="E131" s="271" t="n"/>
      <c r="F131" s="285" t="n"/>
      <c r="G131" s="286" t="inlineStr">
        <is>
          <t>Total Assessments &amp; Fees per Participant:</t>
        </is>
      </c>
      <c r="H131" s="280">
        <f>SUM(G124:G130)</f>
        <v/>
      </c>
    </row>
    <row r="132" ht="15.75" customHeight="1" s="345">
      <c r="A132" s="295" t="inlineStr">
        <is>
          <t>Implementation Session</t>
        </is>
      </c>
      <c r="B132" s="307" t="n">
        <v>22</v>
      </c>
      <c r="C132" s="295" t="n"/>
      <c r="D132" s="295" t="n"/>
      <c r="E132" s="308" t="n"/>
      <c r="F132" s="295" t="n"/>
      <c r="G132" s="301" t="n"/>
      <c r="H132" s="295" t="n"/>
    </row>
    <row r="133" ht="15.75" customHeight="1" s="345">
      <c r="A133" s="295" t="inlineStr">
        <is>
          <t xml:space="preserve">Stakeholder 3: Mid-Point Check In </t>
        </is>
      </c>
      <c r="B133" s="307" t="n">
        <v>1</v>
      </c>
      <c r="C133" s="295" t="n"/>
      <c r="D133" s="294" t="n"/>
      <c r="E133" s="295" t="n"/>
      <c r="F133" s="295" t="n"/>
      <c r="G133" s="295" t="n"/>
      <c r="H133" s="310" t="n"/>
    </row>
    <row r="134" ht="15.75" customHeight="1" s="345">
      <c r="A134" s="304" t="inlineStr">
        <is>
          <t>Stakeholder 4: Wrap-Up Session</t>
        </is>
      </c>
      <c r="B134" s="320" t="n">
        <v>1</v>
      </c>
      <c r="C134" s="295" t="n"/>
      <c r="D134" s="295" t="n"/>
      <c r="E134" s="295" t="n"/>
      <c r="F134" s="295" t="n"/>
      <c r="G134" s="295" t="n"/>
      <c r="H134" s="295" t="n"/>
    </row>
    <row r="135" ht="15.75" customHeight="1" s="345">
      <c r="A135" s="287" t="inlineStr">
        <is>
          <t>Total Hours per Participant:</t>
        </is>
      </c>
      <c r="B135" s="311">
        <f>sum(B125:B134)</f>
        <v/>
      </c>
      <c r="C135" s="295" t="n"/>
      <c r="D135" s="288" t="n"/>
      <c r="E135" s="281" t="n"/>
      <c r="F135" s="281" t="n"/>
      <c r="G135" s="287" t="inlineStr">
        <is>
          <t>Total Services including margin:</t>
        </is>
      </c>
      <c r="H135" s="289">
        <f>B138/(1-$B$16)</f>
        <v/>
      </c>
    </row>
    <row r="136" ht="15.75" customHeight="1" s="345">
      <c r="A136" s="271" t="inlineStr">
        <is>
          <t>Total Coach Cost</t>
        </is>
      </c>
      <c r="B136" s="274">
        <f>B135*$B$15</f>
        <v/>
      </c>
      <c r="C136" s="295" t="n"/>
      <c r="D136" s="277" t="n"/>
      <c r="E136" s="271" t="n"/>
      <c r="F136" s="271" t="n"/>
      <c r="G136" s="286" t="inlineStr">
        <is>
          <t>Engagement Total Per Participant:</t>
        </is>
      </c>
      <c r="H136" s="280">
        <f>SUM(H129:H135)</f>
        <v/>
      </c>
    </row>
    <row r="137" ht="15.75" customHeight="1" s="345">
      <c r="A137" s="281" t="inlineStr">
        <is>
          <t>PM Fee (12%)</t>
        </is>
      </c>
      <c r="B137" s="290">
        <f>B136*0.12</f>
        <v/>
      </c>
      <c r="C137" s="295" t="n"/>
      <c r="D137" s="281" t="inlineStr">
        <is>
          <t># of Participants</t>
        </is>
      </c>
      <c r="E137" s="291" t="n"/>
      <c r="F137" s="281" t="n"/>
      <c r="G137" s="281" t="n"/>
      <c r="H137" s="281" t="n"/>
    </row>
    <row r="138" ht="15.75" customHeight="1" s="345">
      <c r="A138" s="286" t="inlineStr">
        <is>
          <t>Total Services Cost (without margin):</t>
        </is>
      </c>
      <c r="B138" s="272">
        <f>SUM(B136:B137)</f>
        <v/>
      </c>
      <c r="C138" s="321" t="n"/>
      <c r="D138" s="277" t="n"/>
      <c r="E138" s="285" t="n"/>
      <c r="F138" s="271" t="n"/>
      <c r="G138" s="286" t="inlineStr">
        <is>
          <t>Total for Engagement:</t>
        </is>
      </c>
      <c r="H138" s="272">
        <f>H136*E137</f>
        <v/>
      </c>
    </row>
    <row r="139" ht="15.75" customHeight="1" s="345"/>
    <row r="140" ht="15.75" customHeight="1" s="345"/>
    <row r="141" ht="15.75" customHeight="1" s="345"/>
    <row r="142" ht="15.75" customHeight="1" s="345"/>
    <row r="143" ht="15.75" customHeight="1" s="34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34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345">
      <c r="A145" s="322" t="n"/>
      <c r="B145" s="253" t="n"/>
      <c r="C145" s="253" t="n"/>
      <c r="D145" s="253" t="n"/>
      <c r="E145" s="253" t="n"/>
      <c r="F145" s="253" t="n"/>
      <c r="G145" s="253" t="n"/>
      <c r="H145" s="253" t="n"/>
      <c r="I145" s="253" t="n"/>
      <c r="J145" s="6" t="n"/>
      <c r="K145" s="6" t="n"/>
      <c r="L145" s="6" t="n"/>
      <c r="M145" s="6" t="n"/>
      <c r="N145" s="6" t="n"/>
      <c r="O145" s="6" t="n"/>
      <c r="P145" s="6" t="n"/>
      <c r="Q145" s="6" t="n"/>
      <c r="R145" s="6" t="n"/>
      <c r="S145" s="6" t="n"/>
      <c r="T145" s="6" t="n"/>
      <c r="U145" s="6" t="n"/>
      <c r="V145" s="6" t="n"/>
      <c r="W145" s="6" t="n"/>
      <c r="X145" s="6" t="n"/>
      <c r="Y145" s="6" t="n"/>
      <c r="Z145" s="6" t="n"/>
    </row>
    <row r="146" ht="15.75" customHeight="1" s="345">
      <c r="A146" s="323" t="n"/>
      <c r="B146" s="299" t="n"/>
      <c r="C146" s="253" t="n"/>
      <c r="D146" s="323" t="n"/>
      <c r="E146" s="299" t="n"/>
      <c r="F146" s="253" t="n"/>
      <c r="G146" s="323" t="n"/>
      <c r="H146" s="253" t="n"/>
      <c r="I146" s="253" t="n"/>
      <c r="J146" s="6" t="n"/>
      <c r="K146" s="6" t="n"/>
      <c r="L146" s="6" t="n"/>
      <c r="M146" s="6" t="n"/>
      <c r="N146" s="6" t="n"/>
      <c r="O146" s="6" t="n"/>
      <c r="P146" s="6" t="n"/>
      <c r="Q146" s="6" t="n"/>
      <c r="R146" s="6" t="n"/>
      <c r="S146" s="6" t="n"/>
      <c r="T146" s="6" t="n"/>
      <c r="U146" s="6" t="n"/>
      <c r="V146" s="6" t="n"/>
      <c r="W146" s="6" t="n"/>
      <c r="X146" s="6" t="n"/>
      <c r="Y146" s="6" t="n"/>
      <c r="Z146" s="6" t="n"/>
    </row>
    <row r="147" ht="15.75" customHeight="1" s="345">
      <c r="A147" s="323" t="n"/>
      <c r="B147" s="323" t="n"/>
      <c r="C147" s="253" t="n"/>
      <c r="D147" s="323" t="n"/>
      <c r="E147" s="323" t="n"/>
      <c r="F147" s="253" t="n"/>
      <c r="G147" s="253" t="n"/>
      <c r="H147" s="324" t="n"/>
      <c r="I147" s="253" t="n"/>
      <c r="J147" s="6" t="n"/>
      <c r="K147" s="6" t="n"/>
      <c r="L147" s="6" t="n"/>
      <c r="M147" s="6" t="n"/>
      <c r="N147" s="6" t="n"/>
      <c r="O147" s="6" t="n"/>
      <c r="P147" s="6" t="n"/>
      <c r="Q147" s="6" t="n"/>
      <c r="R147" s="6" t="n"/>
      <c r="S147" s="6" t="n"/>
      <c r="T147" s="6" t="n"/>
      <c r="U147" s="6" t="n"/>
      <c r="V147" s="6" t="n"/>
      <c r="W147" s="6" t="n"/>
      <c r="X147" s="6" t="n"/>
      <c r="Y147" s="6" t="n"/>
      <c r="Z147" s="6" t="n"/>
    </row>
    <row r="148" ht="15.75" customHeight="1" s="345">
      <c r="A148" s="253" t="n"/>
      <c r="B148" s="299" t="n"/>
      <c r="C148" s="253" t="n"/>
      <c r="D148" s="253" t="n"/>
      <c r="E148" s="299" t="n"/>
      <c r="F148" s="253" t="n"/>
      <c r="G148" s="253" t="n"/>
      <c r="H148" s="324" t="n"/>
      <c r="I148" s="253" t="n"/>
      <c r="J148" s="6" t="n"/>
      <c r="K148" s="6" t="n"/>
      <c r="L148" s="6" t="n"/>
      <c r="M148" s="6" t="n"/>
      <c r="N148" s="6" t="n"/>
      <c r="O148" s="6" t="n"/>
      <c r="P148" s="6" t="n"/>
      <c r="Q148" s="6" t="n"/>
      <c r="R148" s="6" t="n"/>
      <c r="S148" s="6" t="n"/>
      <c r="T148" s="6" t="n"/>
      <c r="U148" s="6" t="n"/>
      <c r="V148" s="6" t="n"/>
      <c r="W148" s="6" t="n"/>
      <c r="X148" s="6" t="n"/>
      <c r="Y148" s="6" t="n"/>
      <c r="Z148" s="6" t="n"/>
    </row>
    <row r="149" ht="15.75" customHeight="1" s="345">
      <c r="A149" s="253" t="n"/>
      <c r="B149" s="299" t="n"/>
      <c r="C149" s="253" t="n"/>
      <c r="D149" s="253" t="n"/>
      <c r="E149" s="299" t="n"/>
      <c r="F149" s="253" t="n"/>
      <c r="G149" s="253" t="n"/>
      <c r="H149" s="253" t="n"/>
      <c r="I149" s="253" t="n"/>
      <c r="J149" s="6" t="n"/>
      <c r="K149" s="6" t="n"/>
      <c r="L149" s="6" t="n"/>
      <c r="M149" s="6" t="n"/>
      <c r="N149" s="6" t="n"/>
      <c r="O149" s="6" t="n"/>
      <c r="P149" s="6" t="n"/>
      <c r="Q149" s="6" t="n"/>
      <c r="R149" s="6" t="n"/>
      <c r="S149" s="6" t="n"/>
      <c r="T149" s="6" t="n"/>
      <c r="U149" s="6" t="n"/>
      <c r="V149" s="6" t="n"/>
      <c r="W149" s="6" t="n"/>
      <c r="X149" s="6" t="n"/>
      <c r="Y149" s="6" t="n"/>
      <c r="Z149" s="6" t="n"/>
    </row>
    <row r="150" ht="15.75" customHeight="1" s="345">
      <c r="A150" s="253" t="n"/>
      <c r="B150" s="299" t="n"/>
      <c r="C150" s="253" t="n"/>
      <c r="D150" s="253" t="n"/>
      <c r="E150" s="299" t="n"/>
      <c r="F150" s="253" t="n"/>
      <c r="G150" s="323" t="n"/>
      <c r="H150" s="253" t="n"/>
      <c r="I150" s="253" t="n"/>
      <c r="J150" s="6" t="n"/>
      <c r="K150" s="6" t="n"/>
      <c r="L150" s="6" t="n"/>
      <c r="M150" s="6" t="n"/>
      <c r="N150" s="6" t="n"/>
      <c r="O150" s="6" t="n"/>
      <c r="P150" s="6" t="n"/>
      <c r="Q150" s="6" t="n"/>
      <c r="R150" s="6" t="n"/>
      <c r="S150" s="6" t="n"/>
      <c r="T150" s="6" t="n"/>
      <c r="U150" s="6" t="n"/>
      <c r="V150" s="6" t="n"/>
      <c r="W150" s="6" t="n"/>
      <c r="X150" s="6" t="n"/>
      <c r="Y150" s="6" t="n"/>
      <c r="Z150" s="6" t="n"/>
    </row>
    <row r="151" ht="15.75" customHeight="1" s="345">
      <c r="A151" s="253" t="n"/>
      <c r="B151" s="299" t="n"/>
      <c r="C151" s="253" t="n"/>
      <c r="D151" s="253" t="n"/>
      <c r="E151" s="299" t="n"/>
      <c r="F151" s="253" t="n"/>
      <c r="G151" s="325" t="n"/>
      <c r="J151" s="6" t="n"/>
      <c r="K151" s="6" t="n"/>
      <c r="L151" s="6" t="n"/>
      <c r="M151" s="6" t="n"/>
      <c r="N151" s="6" t="n"/>
      <c r="O151" s="6" t="n"/>
      <c r="P151" s="6" t="n"/>
      <c r="Q151" s="6" t="n"/>
      <c r="R151" s="6" t="n"/>
      <c r="S151" s="6" t="n"/>
      <c r="T151" s="6" t="n"/>
      <c r="U151" s="6" t="n"/>
      <c r="V151" s="6" t="n"/>
      <c r="W151" s="6" t="n"/>
      <c r="X151" s="6" t="n"/>
      <c r="Y151" s="6" t="n"/>
      <c r="Z151" s="6" t="n"/>
    </row>
    <row r="152" ht="15.75" customHeight="1" s="345">
      <c r="A152" s="253" t="n"/>
      <c r="B152" s="299" t="n"/>
      <c r="C152" s="253" t="n"/>
      <c r="D152" s="253" t="n"/>
      <c r="E152" s="299" t="n"/>
      <c r="F152" s="253" t="n"/>
      <c r="G152" s="253" t="n"/>
      <c r="H152" s="253" t="n"/>
      <c r="I152" s="253" t="n"/>
      <c r="J152" s="6" t="n"/>
      <c r="K152" s="6" t="n"/>
      <c r="L152" s="6" t="n"/>
      <c r="M152" s="6" t="n"/>
      <c r="N152" s="6" t="n"/>
      <c r="O152" s="6" t="n"/>
      <c r="P152" s="6" t="n"/>
      <c r="Q152" s="6" t="n"/>
      <c r="R152" s="6" t="n"/>
      <c r="S152" s="6" t="n"/>
      <c r="T152" s="6" t="n"/>
      <c r="U152" s="6" t="n"/>
      <c r="V152" s="6" t="n"/>
      <c r="W152" s="6" t="n"/>
      <c r="X152" s="6" t="n"/>
      <c r="Y152" s="6" t="n"/>
      <c r="Z152" s="6" t="n"/>
    </row>
    <row r="153" ht="15.75" customHeight="1" s="345">
      <c r="A153" s="253" t="n"/>
      <c r="B153" s="299" t="n"/>
      <c r="C153" s="253" t="n"/>
      <c r="D153" s="253" t="n"/>
      <c r="E153" s="299" t="n"/>
      <c r="F153" s="253" t="n"/>
      <c r="G153" s="325" t="n"/>
      <c r="H153" s="326" t="n"/>
      <c r="I153" s="253" t="n"/>
      <c r="J153" s="6" t="n"/>
      <c r="K153" s="6" t="n"/>
      <c r="L153" s="6" t="n"/>
      <c r="M153" s="6" t="n"/>
      <c r="N153" s="6" t="n"/>
      <c r="O153" s="6" t="n"/>
      <c r="P153" s="6" t="n"/>
      <c r="Q153" s="6" t="n"/>
      <c r="R153" s="6" t="n"/>
      <c r="S153" s="6" t="n"/>
      <c r="T153" s="6" t="n"/>
      <c r="U153" s="6" t="n"/>
      <c r="V153" s="6" t="n"/>
      <c r="W153" s="6" t="n"/>
      <c r="X153" s="6" t="n"/>
      <c r="Y153" s="6" t="n"/>
      <c r="Z153" s="6" t="n"/>
    </row>
    <row r="154" ht="15.75" customHeight="1" s="345">
      <c r="A154" s="253" t="n"/>
      <c r="B154" s="299" t="n"/>
      <c r="C154" s="253" t="n"/>
      <c r="D154" s="253" t="n"/>
      <c r="E154" s="299" t="n"/>
      <c r="F154" s="253" t="n"/>
      <c r="G154" s="323" t="n"/>
      <c r="H154" s="253" t="n"/>
      <c r="I154" s="253" t="n"/>
      <c r="J154" s="6" t="n"/>
      <c r="K154" s="6" t="n"/>
      <c r="L154" s="6" t="n"/>
      <c r="M154" s="6" t="n"/>
      <c r="N154" s="6" t="n"/>
      <c r="O154" s="6" t="n"/>
      <c r="P154" s="6" t="n"/>
      <c r="Q154" s="6" t="n"/>
      <c r="R154" s="6" t="n"/>
      <c r="S154" s="6" t="n"/>
      <c r="T154" s="6" t="n"/>
      <c r="U154" s="6" t="n"/>
      <c r="V154" s="6" t="n"/>
      <c r="W154" s="6" t="n"/>
      <c r="X154" s="6" t="n"/>
      <c r="Y154" s="6" t="n"/>
      <c r="Z154" s="6" t="n"/>
    </row>
    <row r="155" ht="15.75" customHeight="1" s="345">
      <c r="A155" s="253" t="n"/>
      <c r="B155" s="299" t="n"/>
      <c r="C155" s="253" t="n"/>
      <c r="D155" s="253" t="n"/>
      <c r="E155" s="299" t="n"/>
      <c r="F155" s="253" t="n"/>
      <c r="G155" s="253" t="n"/>
      <c r="H155" s="324" t="n"/>
      <c r="I155" s="253" t="n"/>
      <c r="J155" s="6" t="n"/>
      <c r="K155" s="6" t="n"/>
      <c r="L155" s="6" t="n"/>
      <c r="M155" s="6" t="n"/>
      <c r="N155" s="6" t="n"/>
      <c r="O155" s="6" t="n"/>
      <c r="P155" s="6" t="n"/>
      <c r="Q155" s="6" t="n"/>
      <c r="R155" s="6" t="n"/>
      <c r="S155" s="6" t="n"/>
      <c r="T155" s="6" t="n"/>
      <c r="U155" s="6" t="n"/>
      <c r="V155" s="6" t="n"/>
      <c r="W155" s="6" t="n"/>
      <c r="X155" s="6" t="n"/>
      <c r="Y155" s="6" t="n"/>
      <c r="Z155" s="6" t="n"/>
    </row>
    <row r="156" ht="15.75" customHeight="1" s="345">
      <c r="A156" s="253" t="n"/>
      <c r="B156" s="299" t="n"/>
      <c r="C156" s="253" t="n"/>
      <c r="D156" s="253" t="n"/>
      <c r="E156" s="299" t="n"/>
      <c r="F156" s="253" t="n"/>
      <c r="G156" s="253" t="n"/>
      <c r="H156" s="324" t="n"/>
      <c r="I156" s="253" t="n"/>
      <c r="J156" s="6" t="n"/>
      <c r="K156" s="6" t="n"/>
      <c r="L156" s="6" t="n"/>
      <c r="M156" s="6" t="n"/>
      <c r="N156" s="6" t="n"/>
      <c r="O156" s="6" t="n"/>
      <c r="P156" s="6" t="n"/>
      <c r="Q156" s="6" t="n"/>
      <c r="R156" s="6" t="n"/>
      <c r="S156" s="6" t="n"/>
      <c r="T156" s="6" t="n"/>
      <c r="U156" s="6" t="n"/>
      <c r="V156" s="6" t="n"/>
      <c r="W156" s="6" t="n"/>
      <c r="X156" s="6" t="n"/>
      <c r="Y156" s="6" t="n"/>
      <c r="Z156" s="6" t="n"/>
    </row>
    <row r="157" ht="15.75" customHeight="1" s="345">
      <c r="A157" s="253" t="n"/>
      <c r="B157" s="299" t="n"/>
      <c r="C157" s="253" t="n"/>
      <c r="D157" s="253" t="n"/>
      <c r="E157" s="299" t="n"/>
      <c r="F157" s="253" t="n"/>
      <c r="G157" s="253" t="n"/>
      <c r="H157" s="253" t="n"/>
      <c r="I157" s="253" t="n"/>
      <c r="J157" s="6" t="n"/>
      <c r="K157" s="6" t="n"/>
      <c r="L157" s="6" t="n"/>
      <c r="M157" s="6" t="n"/>
      <c r="N157" s="6" t="n"/>
      <c r="O157" s="6" t="n"/>
      <c r="P157" s="6" t="n"/>
      <c r="Q157" s="6" t="n"/>
      <c r="R157" s="6" t="n"/>
      <c r="S157" s="6" t="n"/>
      <c r="T157" s="6" t="n"/>
      <c r="U157" s="6" t="n"/>
      <c r="V157" s="6" t="n"/>
      <c r="W157" s="6" t="n"/>
      <c r="X157" s="6" t="n"/>
      <c r="Y157" s="6" t="n"/>
      <c r="Z157" s="6" t="n"/>
    </row>
    <row r="158" ht="15.75" customHeight="1" s="345">
      <c r="A158" s="323" t="n"/>
      <c r="B158" s="327" t="n"/>
      <c r="C158" s="253" t="n"/>
      <c r="D158" s="323" t="n"/>
      <c r="E158" s="327" t="n"/>
      <c r="F158" s="253" t="n"/>
      <c r="G158" s="253" t="n"/>
      <c r="H158" s="253" t="n"/>
      <c r="I158" s="253" t="n"/>
      <c r="J158" s="6" t="n"/>
      <c r="K158" s="6" t="n"/>
      <c r="L158" s="6" t="n"/>
      <c r="M158" s="6" t="n"/>
      <c r="N158" s="6" t="n"/>
      <c r="O158" s="6" t="n"/>
      <c r="P158" s="6" t="n"/>
      <c r="Q158" s="6" t="n"/>
      <c r="R158" s="6" t="n"/>
      <c r="S158" s="6" t="n"/>
      <c r="T158" s="6" t="n"/>
      <c r="U158" s="6" t="n"/>
      <c r="V158" s="6" t="n"/>
      <c r="W158" s="6" t="n"/>
      <c r="X158" s="6" t="n"/>
      <c r="Y158" s="6" t="n"/>
      <c r="Z158" s="6" t="n"/>
    </row>
    <row r="159" ht="15.75" customHeight="1" s="345">
      <c r="A159" s="253" t="n"/>
      <c r="B159" s="292" t="n"/>
      <c r="C159" s="253" t="n"/>
      <c r="D159" s="253" t="n"/>
      <c r="E159" s="253" t="n"/>
      <c r="F159" s="253" t="n"/>
      <c r="G159" s="253" t="n"/>
      <c r="H159" s="253" t="n"/>
      <c r="I159" s="253" t="n"/>
      <c r="J159" s="6" t="n"/>
      <c r="K159" s="6" t="n"/>
      <c r="L159" s="6" t="n"/>
      <c r="M159" s="6" t="n"/>
      <c r="N159" s="6" t="n"/>
      <c r="O159" s="6" t="n"/>
      <c r="P159" s="6" t="n"/>
      <c r="Q159" s="6" t="n"/>
      <c r="R159" s="6" t="n"/>
      <c r="S159" s="6" t="n"/>
      <c r="T159" s="6" t="n"/>
      <c r="U159" s="6" t="n"/>
      <c r="V159" s="6" t="n"/>
      <c r="W159" s="6" t="n"/>
      <c r="X159" s="6" t="n"/>
      <c r="Y159" s="6" t="n"/>
      <c r="Z159" s="6" t="n"/>
    </row>
    <row r="160" ht="15.75" customHeight="1" s="345">
      <c r="A160" s="253" t="n"/>
      <c r="B160" s="324" t="n"/>
      <c r="C160" s="253" t="n"/>
      <c r="D160" s="253" t="n"/>
      <c r="E160" s="324" t="n"/>
      <c r="F160" s="253" t="n"/>
      <c r="G160" s="253" t="n"/>
      <c r="H160" s="253" t="n"/>
      <c r="I160" s="253" t="n"/>
      <c r="J160" s="6" t="n"/>
      <c r="K160" s="6" t="n"/>
      <c r="L160" s="6" t="n"/>
      <c r="M160" s="6" t="n"/>
      <c r="N160" s="6" t="n"/>
      <c r="O160" s="6" t="n"/>
      <c r="P160" s="6" t="n"/>
      <c r="Q160" s="6" t="n"/>
      <c r="R160" s="6" t="n"/>
      <c r="S160" s="6" t="n"/>
      <c r="T160" s="6" t="n"/>
      <c r="U160" s="6" t="n"/>
      <c r="V160" s="6" t="n"/>
      <c r="W160" s="6" t="n"/>
      <c r="X160" s="6" t="n"/>
      <c r="Y160" s="6" t="n"/>
      <c r="Z160" s="6" t="n"/>
    </row>
    <row r="161" ht="15.75" customHeight="1" s="345">
      <c r="A161" s="253" t="n"/>
      <c r="B161" s="324" t="n"/>
      <c r="C161" s="253" t="n"/>
      <c r="D161" s="253" t="n"/>
      <c r="E161" s="324" t="n"/>
      <c r="F161" s="253" t="n"/>
      <c r="G161" s="253" t="n"/>
      <c r="H161" s="253" t="n"/>
      <c r="I161" s="253" t="n"/>
      <c r="J161" s="6" t="n"/>
      <c r="K161" s="6" t="n"/>
      <c r="L161" s="6" t="n"/>
      <c r="M161" s="6" t="n"/>
      <c r="N161" s="6" t="n"/>
      <c r="O161" s="6" t="n"/>
      <c r="P161" s="6" t="n"/>
      <c r="Q161" s="6" t="n"/>
      <c r="R161" s="6" t="n"/>
      <c r="S161" s="6" t="n"/>
      <c r="T161" s="6" t="n"/>
      <c r="U161" s="6" t="n"/>
      <c r="V161" s="6" t="n"/>
      <c r="W161" s="6" t="n"/>
      <c r="X161" s="6" t="n"/>
      <c r="Y161" s="6" t="n"/>
      <c r="Z161" s="6" t="n"/>
    </row>
    <row r="162" ht="15.75" customHeight="1" s="345">
      <c r="A162" s="253" t="n"/>
      <c r="B162" s="324" t="n"/>
      <c r="C162" s="253" t="n"/>
      <c r="D162" s="253" t="n"/>
      <c r="E162" s="324" t="n"/>
      <c r="F162" s="253" t="n"/>
      <c r="G162" s="253" t="n"/>
      <c r="H162" s="253" t="n"/>
      <c r="I162" s="253" t="n"/>
      <c r="J162" s="6" t="n"/>
      <c r="K162" s="6" t="n"/>
      <c r="L162" s="6" t="n"/>
      <c r="M162" s="6" t="n"/>
      <c r="N162" s="6" t="n"/>
      <c r="O162" s="6" t="n"/>
      <c r="P162" s="6" t="n"/>
      <c r="Q162" s="6" t="n"/>
      <c r="R162" s="6" t="n"/>
      <c r="S162" s="6" t="n"/>
      <c r="T162" s="6" t="n"/>
      <c r="U162" s="6" t="n"/>
      <c r="V162" s="6" t="n"/>
      <c r="W162" s="6" t="n"/>
      <c r="X162" s="6" t="n"/>
      <c r="Y162" s="6" t="n"/>
      <c r="Z162" s="6" t="n"/>
    </row>
    <row r="163" ht="15.75" customHeight="1" s="345">
      <c r="A163" s="253" t="n"/>
      <c r="B163" s="328" t="n"/>
      <c r="C163" s="253" t="n"/>
      <c r="D163" s="253" t="n"/>
      <c r="E163" s="324" t="n"/>
      <c r="F163" s="253" t="n"/>
      <c r="G163" s="253" t="n"/>
      <c r="H163" s="253" t="n"/>
      <c r="I163" s="253" t="n"/>
      <c r="J163" s="6" t="n"/>
      <c r="K163" s="6" t="n"/>
      <c r="L163" s="6" t="n"/>
      <c r="M163" s="6" t="n"/>
      <c r="N163" s="6" t="n"/>
      <c r="O163" s="6" t="n"/>
      <c r="P163" s="6" t="n"/>
      <c r="Q163" s="6" t="n"/>
      <c r="R163" s="6" t="n"/>
      <c r="S163" s="6" t="n"/>
      <c r="T163" s="6" t="n"/>
      <c r="U163" s="6" t="n"/>
      <c r="V163" s="6" t="n"/>
      <c r="W163" s="6" t="n"/>
      <c r="X163" s="6" t="n"/>
      <c r="Y163" s="6" t="n"/>
      <c r="Z163" s="6" t="n"/>
    </row>
    <row r="164" ht="15.75" customHeight="1" s="345">
      <c r="A164" s="323" t="n"/>
      <c r="B164" s="329" t="n"/>
      <c r="C164" s="253" t="n"/>
      <c r="D164" s="323" t="n"/>
      <c r="E164" s="329" t="n"/>
      <c r="F164" s="253" t="n"/>
      <c r="G164" s="253" t="n"/>
      <c r="H164" s="253" t="n"/>
      <c r="I164" s="253" t="n"/>
      <c r="J164" s="6" t="n"/>
      <c r="K164" s="6" t="n"/>
      <c r="L164" s="6" t="n"/>
      <c r="M164" s="6" t="n"/>
      <c r="N164" s="6" t="n"/>
      <c r="O164" s="6" t="n"/>
      <c r="P164" s="6" t="n"/>
      <c r="Q164" s="6" t="n"/>
      <c r="R164" s="6" t="n"/>
      <c r="S164" s="6" t="n"/>
      <c r="T164" s="6" t="n"/>
      <c r="U164" s="6" t="n"/>
      <c r="V164" s="6" t="n"/>
      <c r="W164" s="6" t="n"/>
      <c r="X164" s="6" t="n"/>
      <c r="Y164" s="6" t="n"/>
      <c r="Z164" s="6" t="n"/>
    </row>
    <row r="165" ht="15.75" customHeight="1" s="345">
      <c r="A165" s="323" t="n"/>
      <c r="B165" s="329" t="n"/>
      <c r="C165" s="253" t="n"/>
      <c r="D165" s="323" t="n"/>
      <c r="E165" s="329" t="n"/>
      <c r="F165" s="253" t="n"/>
      <c r="G165" s="253" t="n"/>
      <c r="H165" s="253" t="n"/>
      <c r="I165" s="253" t="n"/>
      <c r="J165" s="6" t="n"/>
      <c r="K165" s="6" t="n"/>
      <c r="L165" s="6" t="n"/>
      <c r="M165" s="6" t="n"/>
      <c r="N165" s="6" t="n"/>
      <c r="O165" s="6" t="n"/>
      <c r="P165" s="6" t="n"/>
      <c r="Q165" s="6" t="n"/>
      <c r="R165" s="6" t="n"/>
      <c r="S165" s="6" t="n"/>
      <c r="T165" s="6" t="n"/>
      <c r="U165" s="6" t="n"/>
      <c r="V165" s="6" t="n"/>
      <c r="W165" s="6" t="n"/>
      <c r="X165" s="6" t="n"/>
      <c r="Y165" s="6" t="n"/>
      <c r="Z165" s="6" t="n"/>
    </row>
    <row r="166" ht="15.75" customHeight="1" s="345">
      <c r="A166" s="253" t="n"/>
      <c r="B166" s="328" t="n"/>
      <c r="C166" s="253" t="n"/>
      <c r="D166" s="253" t="n"/>
      <c r="E166" s="328" t="n"/>
      <c r="F166" s="253" t="n"/>
      <c r="G166" s="253" t="n"/>
      <c r="H166" s="253" t="n"/>
      <c r="I166" s="253" t="n"/>
      <c r="J166" s="6" t="n"/>
      <c r="K166" s="6" t="n"/>
      <c r="L166" s="6" t="n"/>
      <c r="M166" s="6" t="n"/>
      <c r="N166" s="6" t="n"/>
      <c r="O166" s="6" t="n"/>
      <c r="P166" s="6" t="n"/>
      <c r="Q166" s="6" t="n"/>
      <c r="R166" s="6" t="n"/>
      <c r="S166" s="6" t="n"/>
      <c r="T166" s="6" t="n"/>
      <c r="U166" s="6" t="n"/>
      <c r="V166" s="6" t="n"/>
      <c r="W166" s="6" t="n"/>
      <c r="X166" s="6" t="n"/>
      <c r="Y166" s="6" t="n"/>
      <c r="Z166" s="6" t="n"/>
    </row>
    <row r="167" ht="15.75" customHeight="1" s="34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34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34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34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34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345"/>
    <row r="173" ht="15.75" customHeight="1" s="345"/>
    <row r="174" ht="15.75" customHeight="1" s="345"/>
    <row r="175" ht="15.75" customHeight="1" s="345"/>
    <row r="176" ht="15.75" customHeight="1" s="345"/>
    <row r="177" ht="15.75" customHeight="1" s="345"/>
    <row r="178" ht="15.75" customHeight="1" s="345"/>
    <row r="179" ht="15.75" customHeight="1" s="345"/>
    <row r="180" ht="15.75" customHeight="1" s="345"/>
    <row r="181" ht="15.75" customHeight="1" s="345"/>
    <row r="182" ht="15.75" customHeight="1" s="345"/>
    <row r="183" ht="15.75" customHeight="1" s="345"/>
    <row r="184" ht="15.75" customHeight="1" s="345"/>
    <row r="185" ht="15.75" customHeight="1" s="345"/>
    <row r="186" ht="15.75" customHeight="1" s="345"/>
    <row r="187" ht="15.75" customHeight="1" s="345"/>
    <row r="188" ht="15.75" customHeight="1" s="345"/>
    <row r="189" ht="15.75" customHeight="1" s="345"/>
    <row r="190" ht="15.75" customHeight="1" s="345"/>
    <row r="191" ht="15.75" customHeight="1" s="345"/>
    <row r="192" ht="15.75" customHeight="1" s="345"/>
    <row r="193" ht="15.75" customHeight="1" s="345"/>
    <row r="194" ht="15.75" customHeight="1" s="345"/>
    <row r="195" ht="15.75" customHeight="1" s="345"/>
    <row r="196" ht="15.75" customHeight="1" s="345"/>
    <row r="197" ht="15.75" customHeight="1" s="345"/>
    <row r="198" ht="15.75" customHeight="1" s="345"/>
    <row r="199" ht="15.75" customHeight="1" s="345"/>
    <row r="200" ht="15.75" customHeight="1" s="345"/>
    <row r="201" ht="15.75" customHeight="1" s="345"/>
    <row r="202" ht="15.75" customHeight="1" s="345"/>
    <row r="203" ht="15.75" customHeight="1" s="345"/>
    <row r="204" ht="15.75" customHeight="1" s="345"/>
    <row r="205" ht="15.75" customHeight="1" s="345"/>
    <row r="206" ht="15.75" customHeight="1" s="345"/>
    <row r="207" ht="15.75" customHeight="1" s="345"/>
    <row r="208" ht="15.75" customHeight="1" s="345"/>
    <row r="209" ht="15.75" customHeight="1" s="345"/>
    <row r="210" ht="15.75" customHeight="1" s="345"/>
    <row r="211" ht="15.75" customHeight="1" s="345"/>
    <row r="212" ht="15.75" customHeight="1" s="345"/>
    <row r="213" ht="15.75" customHeight="1" s="345"/>
    <row r="214" ht="15.75" customHeight="1" s="345"/>
    <row r="215" ht="15.75" customHeight="1" s="345"/>
    <row r="216" ht="15.75" customHeight="1" s="345"/>
    <row r="217" ht="15.75" customHeight="1" s="345"/>
    <row r="218" ht="15.75" customHeight="1" s="345"/>
    <row r="219" ht="15.75" customHeight="1" s="345"/>
    <row r="220" ht="15.75" customHeight="1" s="345"/>
    <row r="221" ht="15.75" customHeight="1" s="345"/>
    <row r="222" ht="15.75" customHeight="1" s="345"/>
    <row r="223" ht="15.75" customHeight="1" s="345"/>
    <row r="224" ht="15.75" customHeight="1" s="345"/>
    <row r="225" ht="15.75" customHeight="1" s="345"/>
    <row r="226" ht="15.75" customHeight="1" s="345"/>
    <row r="227" ht="15.75" customHeight="1" s="345"/>
    <row r="228" ht="15.75" customHeight="1" s="345"/>
    <row r="229" ht="15.75" customHeight="1" s="345"/>
    <row r="230" ht="15.75" customHeight="1" s="345"/>
    <row r="231" ht="15.75" customHeight="1" s="345"/>
    <row r="232" ht="15.75" customHeight="1" s="345"/>
    <row r="233" ht="15.75" customHeight="1" s="345"/>
    <row r="234" ht="15.75" customHeight="1" s="345"/>
    <row r="235" ht="15.75" customHeight="1" s="345"/>
    <row r="236" ht="15.75" customHeight="1" s="345"/>
    <row r="237" ht="15.75" customHeight="1" s="345"/>
    <row r="238" ht="15.75" customHeight="1" s="345"/>
    <row r="239" ht="15.75" customHeight="1" s="345"/>
    <row r="240" ht="15.75" customHeight="1" s="345"/>
    <row r="241" ht="15.75" customHeight="1" s="345"/>
    <row r="242" ht="15.75" customHeight="1" s="345"/>
    <row r="243" ht="15.75" customHeight="1" s="345"/>
    <row r="244" ht="15.75" customHeight="1" s="345"/>
    <row r="245" ht="15.75" customHeight="1" s="345"/>
    <row r="246" ht="15.75" customHeight="1" s="345"/>
    <row r="247" ht="15.75" customHeight="1" s="345"/>
    <row r="248" ht="15.75" customHeight="1" s="345"/>
    <row r="249" ht="15.75" customHeight="1" s="345"/>
    <row r="250" ht="15.75" customHeight="1" s="345"/>
    <row r="251" ht="15.75" customHeight="1" s="345"/>
    <row r="252" ht="15.75" customHeight="1" s="345"/>
    <row r="253" ht="15.75" customHeight="1" s="345"/>
    <row r="254" ht="15.75" customHeight="1" s="345"/>
    <row r="255" ht="15.75" customHeight="1" s="345"/>
    <row r="256" ht="15.75" customHeight="1" s="345"/>
    <row r="257" ht="15.75" customHeight="1" s="345"/>
    <row r="258" ht="15.75" customHeight="1" s="345"/>
    <row r="259" ht="15.75" customHeight="1" s="345"/>
    <row r="260" ht="15.75" customHeight="1" s="345"/>
    <row r="261" ht="15.75" customHeight="1" s="345"/>
    <row r="262" ht="15.75" customHeight="1" s="345"/>
    <row r="263" ht="15.75" customHeight="1" s="345"/>
    <row r="264" ht="15.75" customHeight="1" s="345"/>
    <row r="265" ht="15.75" customHeight="1" s="345"/>
    <row r="266" ht="15.75" customHeight="1" s="345"/>
    <row r="267" ht="15.75" customHeight="1" s="345"/>
    <row r="268" ht="15.75" customHeight="1" s="345"/>
    <row r="269" ht="15.75" customHeight="1" s="345"/>
    <row r="270" ht="15.75" customHeight="1" s="345"/>
    <row r="271" ht="15.75" customHeight="1" s="345"/>
    <row r="272" ht="15.75" customHeight="1" s="345"/>
    <row r="273" ht="15.75" customHeight="1" s="345"/>
    <row r="274" ht="15.75" customHeight="1" s="345"/>
    <row r="275" ht="15.75" customHeight="1" s="345"/>
    <row r="276" ht="15.75" customHeight="1" s="345"/>
    <row r="277" ht="15.75" customHeight="1" s="345"/>
    <row r="278" ht="15.75" customHeight="1" s="345"/>
    <row r="279" ht="15.75" customHeight="1" s="345"/>
    <row r="280" ht="15.75" customHeight="1" s="345"/>
    <row r="281" ht="15.75" customHeight="1" s="345"/>
    <row r="282" ht="15.75" customHeight="1" s="345"/>
    <row r="283" ht="15.75" customHeight="1" s="345"/>
    <row r="284" ht="15.75" customHeight="1" s="345"/>
    <row r="285" ht="15.75" customHeight="1" s="345"/>
    <row r="286" ht="15.75" customHeight="1" s="345"/>
    <row r="287" ht="15.75" customHeight="1" s="345"/>
    <row r="288" ht="15.75" customHeight="1" s="345"/>
    <row r="289" ht="15.75" customHeight="1" s="345"/>
    <row r="290" ht="15.75" customHeight="1" s="345"/>
    <row r="291" ht="15.75" customHeight="1" s="345"/>
    <row r="292" ht="15.75" customHeight="1" s="345"/>
    <row r="293" ht="15.75" customHeight="1" s="345"/>
    <row r="294" ht="15.75" customHeight="1" s="345"/>
    <row r="295" ht="15.75" customHeight="1" s="345"/>
    <row r="296" ht="15.75" customHeight="1" s="345"/>
    <row r="297" ht="15.75" customHeight="1" s="345"/>
    <row r="298" ht="15.75" customHeight="1" s="345"/>
    <row r="299" ht="15.75" customHeight="1" s="345"/>
    <row r="300" ht="15.75" customHeight="1" s="345"/>
    <row r="301" ht="15.75" customHeight="1" s="345"/>
    <row r="302" ht="15.75" customHeight="1" s="345"/>
    <row r="303" ht="15.75" customHeight="1" s="345"/>
    <row r="304" ht="15.75" customHeight="1" s="345"/>
    <row r="305" ht="15.75" customHeight="1" s="345"/>
    <row r="306" ht="15.75" customHeight="1" s="345"/>
    <row r="307" ht="15.75" customHeight="1" s="345"/>
    <row r="308" ht="15.75" customHeight="1" s="345"/>
    <row r="309" ht="15.75" customHeight="1" s="345"/>
    <row r="310" ht="15.75" customHeight="1" s="345"/>
    <row r="311" ht="15.75" customHeight="1" s="345"/>
    <row r="312" ht="15.75" customHeight="1" s="345"/>
    <row r="313" ht="15.75" customHeight="1" s="345"/>
    <row r="314" ht="15.75" customHeight="1" s="345"/>
    <row r="315" ht="15.75" customHeight="1" s="345"/>
    <row r="316" ht="15.75" customHeight="1" s="345"/>
    <row r="317" ht="15.75" customHeight="1" s="345"/>
    <row r="318" ht="15.75" customHeight="1" s="345"/>
    <row r="319" ht="15.75" customHeight="1" s="345"/>
    <row r="320" ht="15.75" customHeight="1" s="345"/>
    <row r="321" ht="15.75" customHeight="1" s="345"/>
    <row r="322" ht="15.75" customHeight="1" s="345"/>
    <row r="323" ht="15.75" customHeight="1" s="345"/>
    <row r="324" ht="15.75" customHeight="1" s="345"/>
    <row r="325" ht="15.75" customHeight="1" s="345"/>
    <row r="326" ht="15.75" customHeight="1" s="345"/>
    <row r="327" ht="15.75" customHeight="1" s="345"/>
    <row r="328" ht="15.75" customHeight="1" s="345"/>
    <row r="329" ht="15.75" customHeight="1" s="345"/>
    <row r="330" ht="15.75" customHeight="1" s="345"/>
    <row r="331" ht="15.75" customHeight="1" s="345"/>
    <row r="332" ht="15.75" customHeight="1" s="345"/>
    <row r="333" ht="15.75" customHeight="1" s="345"/>
    <row r="334" ht="15.75" customHeight="1" s="345"/>
    <row r="335" ht="15.75" customHeight="1" s="345"/>
    <row r="336" ht="15.75" customHeight="1" s="345"/>
    <row r="337" ht="15.75" customHeight="1" s="345"/>
    <row r="338" ht="15.75" customHeight="1" s="345"/>
    <row r="339" ht="15.75" customHeight="1" s="345"/>
    <row r="340" ht="15.75" customHeight="1" s="345"/>
    <row r="341" ht="15.75" customHeight="1" s="345"/>
    <row r="342" ht="15.75" customHeight="1" s="345"/>
    <row r="343" ht="15.75" customHeight="1" s="345"/>
    <row r="344" ht="15.75" customHeight="1" s="345"/>
    <row r="345" ht="15.75" customHeight="1" s="345"/>
    <row r="346" ht="15.75" customHeight="1" s="345"/>
    <row r="347" ht="15.75" customHeight="1" s="345"/>
    <row r="348" ht="15.75" customHeight="1" s="345"/>
    <row r="349" ht="15.75" customHeight="1" s="345"/>
    <row r="350" ht="15.75" customHeight="1" s="345"/>
    <row r="351" ht="15.75" customHeight="1" s="345"/>
    <row r="352" ht="15.75" customHeight="1" s="345"/>
    <row r="353" ht="15.75" customHeight="1" s="345"/>
    <row r="354" ht="15.75" customHeight="1" s="345"/>
    <row r="355" ht="15.75" customHeight="1" s="345"/>
    <row r="356" ht="15.75" customHeight="1" s="345"/>
    <row r="357" ht="15.75" customHeight="1" s="345"/>
    <row r="358" ht="15.75" customHeight="1" s="345"/>
    <row r="359" ht="15.75" customHeight="1" s="345"/>
    <row r="360" ht="15.75" customHeight="1" s="345"/>
    <row r="361" ht="15.75" customHeight="1" s="345"/>
    <row r="362" ht="15.75" customHeight="1" s="345"/>
    <row r="363" ht="15.75" customHeight="1" s="345"/>
    <row r="364" ht="15.75" customHeight="1" s="345"/>
    <row r="365" ht="15.75" customHeight="1" s="345"/>
    <row r="366" ht="15.75" customHeight="1" s="345"/>
    <row r="367" ht="15.75" customHeight="1" s="345"/>
    <row r="368" ht="15.75" customHeight="1" s="345"/>
    <row r="369" ht="15.75" customHeight="1" s="345"/>
    <row r="370" ht="15.75" customHeight="1" s="345"/>
    <row r="371" ht="15.75" customHeight="1" s="345"/>
    <row r="372" ht="15.75" customHeight="1" s="345"/>
    <row r="373" ht="15.75" customHeight="1" s="345"/>
    <row r="374" ht="15.75" customHeight="1" s="345"/>
    <row r="375" ht="15.75" customHeight="1" s="345"/>
    <row r="376" ht="15.75" customHeight="1" s="345"/>
    <row r="377" ht="15.75" customHeight="1" s="345"/>
    <row r="378" ht="15.75" customHeight="1" s="345"/>
    <row r="379" ht="15.75" customHeight="1" s="345"/>
    <row r="380" ht="15.75" customHeight="1" s="345"/>
    <row r="381" ht="15.75" customHeight="1" s="345"/>
    <row r="382" ht="15.75" customHeight="1" s="345"/>
    <row r="383" ht="15.75" customHeight="1" s="345"/>
    <row r="384" ht="15.75" customHeight="1" s="345"/>
    <row r="385" ht="15.75" customHeight="1" s="345"/>
    <row r="386" ht="15.75" customHeight="1" s="345"/>
    <row r="387" ht="15.75" customHeight="1" s="345"/>
    <row r="388" ht="15.75" customHeight="1" s="345"/>
    <row r="389" ht="15.75" customHeight="1" s="345"/>
    <row r="390" ht="15.75" customHeight="1" s="345"/>
    <row r="391" ht="15.75" customHeight="1" s="345"/>
    <row r="392" ht="15.75" customHeight="1" s="345"/>
    <row r="393" ht="15.75" customHeight="1" s="345"/>
    <row r="394" ht="15.75" customHeight="1" s="345"/>
    <row r="395" ht="15.75" customHeight="1" s="345"/>
    <row r="396" ht="15.75" customHeight="1" s="345"/>
    <row r="397" ht="15.75" customHeight="1" s="345"/>
    <row r="398" ht="15.75" customHeight="1" s="345"/>
    <row r="399" ht="15.75" customHeight="1" s="345"/>
    <row r="400" ht="15.75" customHeight="1" s="345"/>
    <row r="401" ht="15.75" customHeight="1" s="345"/>
    <row r="402" ht="15.75" customHeight="1" s="345"/>
    <row r="403" ht="15.75" customHeight="1" s="345"/>
    <row r="404" ht="15.75" customHeight="1" s="345"/>
    <row r="405" ht="15.75" customHeight="1" s="345"/>
    <row r="406" ht="15.75" customHeight="1" s="345"/>
    <row r="407" ht="15.75" customHeight="1" s="345"/>
    <row r="408" ht="15.75" customHeight="1" s="345"/>
    <row r="409" ht="15.75" customHeight="1" s="345"/>
    <row r="410" ht="15.75" customHeight="1" s="345"/>
    <row r="411" ht="15.75" customHeight="1" s="345"/>
    <row r="412" ht="15.75" customHeight="1" s="345"/>
    <row r="413" ht="15.75" customHeight="1" s="345"/>
    <row r="414" ht="15.75" customHeight="1" s="345"/>
    <row r="415" ht="15.75" customHeight="1" s="345"/>
    <row r="416" ht="15.75" customHeight="1" s="345"/>
    <row r="417" ht="15.75" customHeight="1" s="345"/>
    <row r="418" ht="15.75" customHeight="1" s="345"/>
    <row r="419" ht="15.75" customHeight="1" s="345"/>
    <row r="420" ht="15.75" customHeight="1" s="345"/>
    <row r="421" ht="15.75" customHeight="1" s="345"/>
    <row r="422" ht="15.75" customHeight="1" s="345"/>
    <row r="423" ht="15.75" customHeight="1" s="345"/>
    <row r="424" ht="15.75" customHeight="1" s="345"/>
    <row r="425" ht="15.75" customHeight="1" s="345"/>
    <row r="426" ht="15.75" customHeight="1" s="345"/>
    <row r="427" ht="15.75" customHeight="1" s="345"/>
    <row r="428" ht="15.75" customHeight="1" s="345"/>
    <row r="429" ht="15.75" customHeight="1" s="345"/>
    <row r="430" ht="15.75" customHeight="1" s="345"/>
    <row r="431" ht="15.75" customHeight="1" s="345"/>
    <row r="432" ht="15.75" customHeight="1" s="345"/>
    <row r="433" ht="15.75" customHeight="1" s="345"/>
    <row r="434" ht="15.75" customHeight="1" s="345"/>
    <row r="435" ht="15.75" customHeight="1" s="345"/>
    <row r="436" ht="15.75" customHeight="1" s="345"/>
    <row r="437" ht="15.75" customHeight="1" s="345"/>
    <row r="438" ht="15.75" customHeight="1" s="345"/>
    <row r="439" ht="15.75" customHeight="1" s="345"/>
    <row r="440" ht="15.75" customHeight="1" s="345"/>
    <row r="441" ht="15.75" customHeight="1" s="345"/>
    <row r="442" ht="15.75" customHeight="1" s="345"/>
    <row r="443" ht="15.75" customHeight="1" s="345"/>
    <row r="444" ht="15.75" customHeight="1" s="345"/>
    <row r="445" ht="15.75" customHeight="1" s="345"/>
    <row r="446" ht="15.75" customHeight="1" s="345"/>
    <row r="447" ht="15.75" customHeight="1" s="345"/>
    <row r="448" ht="15.75" customHeight="1" s="345"/>
    <row r="449" ht="15.75" customHeight="1" s="345"/>
    <row r="450" ht="15.75" customHeight="1" s="345"/>
    <row r="451" ht="15.75" customHeight="1" s="345"/>
    <row r="452" ht="15.75" customHeight="1" s="345"/>
    <row r="453" ht="15.75" customHeight="1" s="345"/>
    <row r="454" ht="15.75" customHeight="1" s="345"/>
    <row r="455" ht="15.75" customHeight="1" s="345"/>
    <row r="456" ht="15.75" customHeight="1" s="345"/>
    <row r="457" ht="15.75" customHeight="1" s="345"/>
    <row r="458" ht="15.75" customHeight="1" s="345"/>
    <row r="459" ht="15.75" customHeight="1" s="345"/>
    <row r="460" ht="15.75" customHeight="1" s="345"/>
    <row r="461" ht="15.75" customHeight="1" s="345"/>
    <row r="462" ht="15.75" customHeight="1" s="345"/>
    <row r="463" ht="15.75" customHeight="1" s="345"/>
    <row r="464" ht="15.75" customHeight="1" s="345"/>
    <row r="465" ht="15.75" customHeight="1" s="345"/>
    <row r="466" ht="15.75" customHeight="1" s="345"/>
    <row r="467" ht="15.75" customHeight="1" s="345"/>
    <row r="468" ht="15.75" customHeight="1" s="345"/>
    <row r="469" ht="15.75" customHeight="1" s="345"/>
    <row r="470" ht="15.75" customHeight="1" s="345"/>
    <row r="471" ht="15.75" customHeight="1" s="345"/>
    <row r="472" ht="15.75" customHeight="1" s="345"/>
    <row r="473" ht="15.75" customHeight="1" s="345"/>
    <row r="474" ht="15.75" customHeight="1" s="345"/>
    <row r="475" ht="15.75" customHeight="1" s="345"/>
    <row r="476" ht="15.75" customHeight="1" s="345"/>
    <row r="477" ht="15.75" customHeight="1" s="345"/>
    <row r="478" ht="15.75" customHeight="1" s="345"/>
    <row r="479" ht="15.75" customHeight="1" s="345"/>
    <row r="480" ht="15.75" customHeight="1" s="345"/>
    <row r="481" ht="15.75" customHeight="1" s="345"/>
    <row r="482" ht="15.75" customHeight="1" s="345"/>
    <row r="483" ht="15.75" customHeight="1" s="345"/>
    <row r="484" ht="15.75" customHeight="1" s="345"/>
    <row r="485" ht="15.75" customHeight="1" s="345"/>
    <row r="486" ht="15.75" customHeight="1" s="345"/>
    <row r="487" ht="15.75" customHeight="1" s="345"/>
    <row r="488" ht="15.75" customHeight="1" s="345"/>
    <row r="489" ht="15.75" customHeight="1" s="345"/>
    <row r="490" ht="15.75" customHeight="1" s="345"/>
    <row r="491" ht="15.75" customHeight="1" s="345"/>
    <row r="492" ht="15.75" customHeight="1" s="345"/>
    <row r="493" ht="15.75" customHeight="1" s="345"/>
    <row r="494" ht="15.75" customHeight="1" s="345"/>
    <row r="495" ht="15.75" customHeight="1" s="345"/>
    <row r="496" ht="15.75" customHeight="1" s="345"/>
    <row r="497" ht="15.75" customHeight="1" s="345"/>
    <row r="498" ht="15.75" customHeight="1" s="345"/>
    <row r="499" ht="15.75" customHeight="1" s="345"/>
    <row r="500" ht="15.75" customHeight="1" s="345"/>
    <row r="501" ht="15.75" customHeight="1" s="345"/>
    <row r="502" ht="15.75" customHeight="1" s="345"/>
    <row r="503" ht="15.75" customHeight="1" s="345"/>
    <row r="504" ht="15.75" customHeight="1" s="345"/>
    <row r="505" ht="15.75" customHeight="1" s="345"/>
    <row r="506" ht="15.75" customHeight="1" s="345"/>
    <row r="507" ht="15.75" customHeight="1" s="345"/>
    <row r="508" ht="15.75" customHeight="1" s="345"/>
    <row r="509" ht="15.75" customHeight="1" s="345"/>
    <row r="510" ht="15.75" customHeight="1" s="345"/>
    <row r="511" ht="15.75" customHeight="1" s="345"/>
    <row r="512" ht="15.75" customHeight="1" s="345"/>
    <row r="513" ht="15.75" customHeight="1" s="345"/>
    <row r="514" ht="15.75" customHeight="1" s="345"/>
    <row r="515" ht="15.75" customHeight="1" s="345"/>
    <row r="516" ht="15.75" customHeight="1" s="345"/>
    <row r="517" ht="15.75" customHeight="1" s="345"/>
    <row r="518" ht="15.75" customHeight="1" s="345"/>
    <row r="519" ht="15.75" customHeight="1" s="345"/>
    <row r="520" ht="15.75" customHeight="1" s="345"/>
    <row r="521" ht="15.75" customHeight="1" s="345"/>
    <row r="522" ht="15.75" customHeight="1" s="345"/>
    <row r="523" ht="15.75" customHeight="1" s="345"/>
    <row r="524" ht="15.75" customHeight="1" s="345"/>
    <row r="525" ht="15.75" customHeight="1" s="345"/>
    <row r="526" ht="15.75" customHeight="1" s="345"/>
    <row r="527" ht="15.75" customHeight="1" s="345"/>
    <row r="528" ht="15.75" customHeight="1" s="345"/>
    <row r="529" ht="15.75" customHeight="1" s="345"/>
    <row r="530" ht="15.75" customHeight="1" s="345"/>
    <row r="531" ht="15.75" customHeight="1" s="345"/>
    <row r="532" ht="15.75" customHeight="1" s="345"/>
    <row r="533" ht="15.75" customHeight="1" s="345"/>
    <row r="534" ht="15.75" customHeight="1" s="345"/>
    <row r="535" ht="15.75" customHeight="1" s="345"/>
    <row r="536" ht="15.75" customHeight="1" s="345"/>
    <row r="537" ht="15.75" customHeight="1" s="345"/>
    <row r="538" ht="15.75" customHeight="1" s="345"/>
    <row r="539" ht="15.75" customHeight="1" s="345"/>
    <row r="540" ht="15.75" customHeight="1" s="345"/>
    <row r="541" ht="15.75" customHeight="1" s="345"/>
    <row r="542" ht="15.75" customHeight="1" s="345"/>
    <row r="543" ht="15.75" customHeight="1" s="345"/>
    <row r="544" ht="15.75" customHeight="1" s="345"/>
    <row r="545" ht="15.75" customHeight="1" s="345"/>
    <row r="546" ht="15.75" customHeight="1" s="345"/>
    <row r="547" ht="15.75" customHeight="1" s="345"/>
    <row r="548" ht="15.75" customHeight="1" s="345"/>
    <row r="549" ht="15.75" customHeight="1" s="345"/>
    <row r="550" ht="15.75" customHeight="1" s="345"/>
    <row r="551" ht="15.75" customHeight="1" s="345"/>
    <row r="552" ht="15.75" customHeight="1" s="345"/>
    <row r="553" ht="15.75" customHeight="1" s="345"/>
    <row r="554" ht="15.75" customHeight="1" s="345"/>
    <row r="555" ht="15.75" customHeight="1" s="345"/>
    <row r="556" ht="15.75" customHeight="1" s="345"/>
    <row r="557" ht="15.75" customHeight="1" s="345"/>
    <row r="558" ht="15.75" customHeight="1" s="345"/>
    <row r="559" ht="15.75" customHeight="1" s="345"/>
    <row r="560" ht="15.75" customHeight="1" s="345"/>
    <row r="561" ht="15.75" customHeight="1" s="345"/>
    <row r="562" ht="15.75" customHeight="1" s="345"/>
    <row r="563" ht="15.75" customHeight="1" s="345"/>
    <row r="564" ht="15.75" customHeight="1" s="345"/>
    <row r="565" ht="15.75" customHeight="1" s="345"/>
    <row r="566" ht="15.75" customHeight="1" s="345"/>
    <row r="567" ht="15.75" customHeight="1" s="345"/>
    <row r="568" ht="15.75" customHeight="1" s="345"/>
    <row r="569" ht="15.75" customHeight="1" s="345"/>
    <row r="570" ht="15.75" customHeight="1" s="345"/>
    <row r="571" ht="15.75" customHeight="1" s="345"/>
    <row r="572" ht="15.75" customHeight="1" s="345"/>
    <row r="573" ht="15.75" customHeight="1" s="345"/>
    <row r="574" ht="15.75" customHeight="1" s="345"/>
    <row r="575" ht="15.75" customHeight="1" s="345"/>
    <row r="576" ht="15.75" customHeight="1" s="345"/>
    <row r="577" ht="15.75" customHeight="1" s="345"/>
    <row r="578" ht="15.75" customHeight="1" s="345"/>
    <row r="579" ht="15.75" customHeight="1" s="345"/>
    <row r="580" ht="15.75" customHeight="1" s="345"/>
    <row r="581" ht="15.75" customHeight="1" s="345"/>
    <row r="582" ht="15.75" customHeight="1" s="345"/>
    <row r="583" ht="15.75" customHeight="1" s="345"/>
    <row r="584" ht="15.75" customHeight="1" s="345"/>
    <row r="585" ht="15.75" customHeight="1" s="345"/>
    <row r="586" ht="15.75" customHeight="1" s="345"/>
    <row r="587" ht="15.75" customHeight="1" s="345"/>
    <row r="588" ht="15.75" customHeight="1" s="345"/>
    <row r="589" ht="15.75" customHeight="1" s="345"/>
    <row r="590" ht="15.75" customHeight="1" s="345"/>
    <row r="591" ht="15.75" customHeight="1" s="345"/>
    <row r="592" ht="15.75" customHeight="1" s="345"/>
    <row r="593" ht="15.75" customHeight="1" s="345"/>
    <row r="594" ht="15.75" customHeight="1" s="345"/>
    <row r="595" ht="15.75" customHeight="1" s="345"/>
    <row r="596" ht="15.75" customHeight="1" s="345"/>
    <row r="597" ht="15.75" customHeight="1" s="345"/>
    <row r="598" ht="15.75" customHeight="1" s="345"/>
    <row r="599" ht="15.75" customHeight="1" s="345"/>
    <row r="600" ht="15.75" customHeight="1" s="345"/>
    <row r="601" ht="15.75" customHeight="1" s="345"/>
    <row r="602" ht="15.75" customHeight="1" s="345"/>
    <row r="603" ht="15.75" customHeight="1" s="345"/>
    <row r="604" ht="15.75" customHeight="1" s="345"/>
    <row r="605" ht="15.75" customHeight="1" s="345"/>
    <row r="606" ht="15.75" customHeight="1" s="345"/>
    <row r="607" ht="15.75" customHeight="1" s="345"/>
    <row r="608" ht="15.75" customHeight="1" s="345"/>
    <row r="609" ht="15.75" customHeight="1" s="345"/>
    <row r="610" ht="15.75" customHeight="1" s="345"/>
    <row r="611" ht="15.75" customHeight="1" s="345"/>
    <row r="612" ht="15.75" customHeight="1" s="345"/>
    <row r="613" ht="15.75" customHeight="1" s="345"/>
    <row r="614" ht="15.75" customHeight="1" s="345"/>
    <row r="615" ht="15.75" customHeight="1" s="345"/>
    <row r="616" ht="15.75" customHeight="1" s="345"/>
    <row r="617" ht="15.75" customHeight="1" s="345"/>
    <row r="618" ht="15.75" customHeight="1" s="345"/>
    <row r="619" ht="15.75" customHeight="1" s="345"/>
    <row r="620" ht="15.75" customHeight="1" s="345"/>
    <row r="621" ht="15.75" customHeight="1" s="345"/>
    <row r="622" ht="15.75" customHeight="1" s="345"/>
    <row r="623" ht="15.75" customHeight="1" s="345"/>
    <row r="624" ht="15.75" customHeight="1" s="345"/>
    <row r="625" ht="15.75" customHeight="1" s="345"/>
    <row r="626" ht="15.75" customHeight="1" s="345"/>
    <row r="627" ht="15.75" customHeight="1" s="345"/>
    <row r="628" ht="15.75" customHeight="1" s="345"/>
    <row r="629" ht="15.75" customHeight="1" s="345"/>
    <row r="630" ht="15.75" customHeight="1" s="345"/>
    <row r="631" ht="15.75" customHeight="1" s="345"/>
    <row r="632" ht="15.75" customHeight="1" s="345"/>
    <row r="633" ht="15.75" customHeight="1" s="345"/>
    <row r="634" ht="15.75" customHeight="1" s="345"/>
    <row r="635" ht="15.75" customHeight="1" s="345"/>
    <row r="636" ht="15.75" customHeight="1" s="345"/>
    <row r="637" ht="15.75" customHeight="1" s="345"/>
    <row r="638" ht="15.75" customHeight="1" s="345"/>
    <row r="639" ht="15.75" customHeight="1" s="345"/>
    <row r="640" ht="15.75" customHeight="1" s="345"/>
    <row r="641" ht="15.75" customHeight="1" s="345"/>
    <row r="642" ht="15.75" customHeight="1" s="345"/>
    <row r="643" ht="15.75" customHeight="1" s="345"/>
    <row r="644" ht="15.75" customHeight="1" s="345"/>
    <row r="645" ht="15.75" customHeight="1" s="345"/>
    <row r="646" ht="15.75" customHeight="1" s="345"/>
    <row r="647" ht="15.75" customHeight="1" s="345"/>
    <row r="648" ht="15.75" customHeight="1" s="345"/>
    <row r="649" ht="15.75" customHeight="1" s="345"/>
    <row r="650" ht="15.75" customHeight="1" s="345"/>
    <row r="651" ht="15.75" customHeight="1" s="345"/>
    <row r="652" ht="15.75" customHeight="1" s="345"/>
    <row r="653" ht="15.75" customHeight="1" s="345"/>
    <row r="654" ht="15.75" customHeight="1" s="345"/>
    <row r="655" ht="15.75" customHeight="1" s="345"/>
    <row r="656" ht="15.75" customHeight="1" s="345"/>
    <row r="657" ht="15.75" customHeight="1" s="345"/>
    <row r="658" ht="15.75" customHeight="1" s="345"/>
    <row r="659" ht="15.75" customHeight="1" s="345"/>
    <row r="660" ht="15.75" customHeight="1" s="345"/>
    <row r="661" ht="15.75" customHeight="1" s="345"/>
    <row r="662" ht="15.75" customHeight="1" s="345"/>
    <row r="663" ht="15.75" customHeight="1" s="345"/>
    <row r="664" ht="15.75" customHeight="1" s="345"/>
    <row r="665" ht="15.75" customHeight="1" s="345"/>
    <row r="666" ht="15.75" customHeight="1" s="345"/>
    <row r="667" ht="15.75" customHeight="1" s="345"/>
    <row r="668" ht="15.75" customHeight="1" s="345"/>
    <row r="669" ht="15.75" customHeight="1" s="345"/>
    <row r="670" ht="15.75" customHeight="1" s="345"/>
    <row r="671" ht="15.75" customHeight="1" s="345"/>
    <row r="672" ht="15.75" customHeight="1" s="345"/>
    <row r="673" ht="15.75" customHeight="1" s="345"/>
    <row r="674" ht="15.75" customHeight="1" s="345"/>
    <row r="675" ht="15.75" customHeight="1" s="345"/>
    <row r="676" ht="15.75" customHeight="1" s="345"/>
    <row r="677" ht="15.75" customHeight="1" s="345"/>
    <row r="678" ht="15.75" customHeight="1" s="345"/>
    <row r="679" ht="15.75" customHeight="1" s="345"/>
    <row r="680" ht="15.75" customHeight="1" s="345"/>
    <row r="681" ht="15.75" customHeight="1" s="345"/>
    <row r="682" ht="15.75" customHeight="1" s="345"/>
    <row r="683" ht="15.75" customHeight="1" s="345"/>
    <row r="684" ht="15.75" customHeight="1" s="345"/>
    <row r="685" ht="15.75" customHeight="1" s="345"/>
    <row r="686" ht="15.75" customHeight="1" s="345"/>
    <row r="687" ht="15.75" customHeight="1" s="345"/>
    <row r="688" ht="15.75" customHeight="1" s="345"/>
    <row r="689" ht="15.75" customHeight="1" s="345"/>
    <row r="690" ht="15.75" customHeight="1" s="345"/>
    <row r="691" ht="15.75" customHeight="1" s="345"/>
    <row r="692" ht="15.75" customHeight="1" s="345"/>
    <row r="693" ht="15.75" customHeight="1" s="345"/>
    <row r="694" ht="15.75" customHeight="1" s="345"/>
    <row r="695" ht="15.75" customHeight="1" s="345"/>
    <row r="696" ht="15.75" customHeight="1" s="345"/>
    <row r="697" ht="15.75" customHeight="1" s="345"/>
    <row r="698" ht="15.75" customHeight="1" s="345"/>
    <row r="699" ht="15.75" customHeight="1" s="345"/>
    <row r="700" ht="15.75" customHeight="1" s="345"/>
    <row r="701" ht="15.75" customHeight="1" s="345"/>
    <row r="702" ht="15.75" customHeight="1" s="345"/>
    <row r="703" ht="15.75" customHeight="1" s="345"/>
    <row r="704" ht="15.75" customHeight="1" s="345"/>
    <row r="705" ht="15.75" customHeight="1" s="345"/>
    <row r="706" ht="15.75" customHeight="1" s="345"/>
    <row r="707" ht="15.75" customHeight="1" s="345"/>
    <row r="708" ht="15.75" customHeight="1" s="345"/>
    <row r="709" ht="15.75" customHeight="1" s="345"/>
    <row r="710" ht="15.75" customHeight="1" s="345"/>
    <row r="711" ht="15.75" customHeight="1" s="345"/>
    <row r="712" ht="15.75" customHeight="1" s="345"/>
    <row r="713" ht="15.75" customHeight="1" s="345"/>
    <row r="714" ht="15.75" customHeight="1" s="345"/>
    <row r="715" ht="15.75" customHeight="1" s="345"/>
    <row r="716" ht="15.75" customHeight="1" s="345"/>
    <row r="717" ht="15.75" customHeight="1" s="345"/>
    <row r="718" ht="15.75" customHeight="1" s="345"/>
    <row r="719" ht="15.75" customHeight="1" s="345"/>
    <row r="720" ht="15.75" customHeight="1" s="345"/>
    <row r="721" ht="15.75" customHeight="1" s="345"/>
    <row r="722" ht="15.75" customHeight="1" s="345"/>
    <row r="723" ht="15.75" customHeight="1" s="345"/>
    <row r="724" ht="15.75" customHeight="1" s="345"/>
    <row r="725" ht="15.75" customHeight="1" s="345"/>
    <row r="726" ht="15.75" customHeight="1" s="345"/>
    <row r="727" ht="15.75" customHeight="1" s="345"/>
    <row r="728" ht="15.75" customHeight="1" s="345"/>
    <row r="729" ht="15.75" customHeight="1" s="345"/>
    <row r="730" ht="15.75" customHeight="1" s="345"/>
    <row r="731" ht="15.75" customHeight="1" s="345"/>
    <row r="732" ht="15.75" customHeight="1" s="345"/>
    <row r="733" ht="15.75" customHeight="1" s="345"/>
    <row r="734" ht="15.75" customHeight="1" s="345"/>
    <row r="735" ht="15.75" customHeight="1" s="345"/>
    <row r="736" ht="15.75" customHeight="1" s="345"/>
    <row r="737" ht="15.75" customHeight="1" s="345"/>
    <row r="738" ht="15.75" customHeight="1" s="345"/>
    <row r="739" ht="15.75" customHeight="1" s="345"/>
    <row r="740" ht="15.75" customHeight="1" s="345"/>
    <row r="741" ht="15.75" customHeight="1" s="345"/>
    <row r="742" ht="15.75" customHeight="1" s="345"/>
    <row r="743" ht="15.75" customHeight="1" s="345"/>
    <row r="744" ht="15.75" customHeight="1" s="345"/>
    <row r="745" ht="15.75" customHeight="1" s="345"/>
    <row r="746" ht="15.75" customHeight="1" s="345"/>
    <row r="747" ht="15.75" customHeight="1" s="345"/>
    <row r="748" ht="15.75" customHeight="1" s="345"/>
    <row r="749" ht="15.75" customHeight="1" s="345"/>
    <row r="750" ht="15.75" customHeight="1" s="345"/>
    <row r="751" ht="15.75" customHeight="1" s="345"/>
    <row r="752" ht="15.75" customHeight="1" s="345"/>
    <row r="753" ht="15.75" customHeight="1" s="345"/>
    <row r="754" ht="15.75" customHeight="1" s="345"/>
    <row r="755" ht="15.75" customHeight="1" s="345"/>
    <row r="756" ht="15.75" customHeight="1" s="345"/>
    <row r="757" ht="15.75" customHeight="1" s="345"/>
    <row r="758" ht="15.75" customHeight="1" s="345"/>
    <row r="759" ht="15.75" customHeight="1" s="345"/>
    <row r="760" ht="15.75" customHeight="1" s="345"/>
    <row r="761" ht="15.75" customHeight="1" s="345"/>
    <row r="762" ht="15.75" customHeight="1" s="345"/>
    <row r="763" ht="15.75" customHeight="1" s="345"/>
    <row r="764" ht="15.75" customHeight="1" s="345"/>
    <row r="765" ht="15.75" customHeight="1" s="345"/>
    <row r="766" ht="15.75" customHeight="1" s="345"/>
    <row r="767" ht="15.75" customHeight="1" s="345"/>
    <row r="768" ht="15.75" customHeight="1" s="345"/>
    <row r="769" ht="15.75" customHeight="1" s="345"/>
    <row r="770" ht="15.75" customHeight="1" s="345"/>
    <row r="771" ht="15.75" customHeight="1" s="345"/>
    <row r="772" ht="15.75" customHeight="1" s="345"/>
    <row r="773" ht="15.75" customHeight="1" s="345"/>
    <row r="774" ht="15.75" customHeight="1" s="345"/>
    <row r="775" ht="15.75" customHeight="1" s="345"/>
    <row r="776" ht="15.75" customHeight="1" s="345"/>
    <row r="777" ht="15.75" customHeight="1" s="345"/>
    <row r="778" ht="15.75" customHeight="1" s="345"/>
    <row r="779" ht="15.75" customHeight="1" s="345"/>
    <row r="780" ht="15.75" customHeight="1" s="345"/>
    <row r="781" ht="15.75" customHeight="1" s="345"/>
    <row r="782" ht="15.75" customHeight="1" s="345"/>
    <row r="783" ht="15.75" customHeight="1" s="345"/>
    <row r="784" ht="15.75" customHeight="1" s="345"/>
    <row r="785" ht="15.75" customHeight="1" s="345"/>
    <row r="786" ht="15.75" customHeight="1" s="345"/>
    <row r="787" ht="15.75" customHeight="1" s="345"/>
    <row r="788" ht="15.75" customHeight="1" s="345"/>
    <row r="789" ht="15.75" customHeight="1" s="345"/>
    <row r="790" ht="15.75" customHeight="1" s="345"/>
    <row r="791" ht="15.75" customHeight="1" s="345"/>
    <row r="792" ht="15.75" customHeight="1" s="345"/>
    <row r="793" ht="15.75" customHeight="1" s="345"/>
    <row r="794" ht="15.75" customHeight="1" s="345"/>
    <row r="795" ht="15.75" customHeight="1" s="345"/>
    <row r="796" ht="15.75" customHeight="1" s="345"/>
    <row r="797" ht="15.75" customHeight="1" s="345"/>
    <row r="798" ht="15.75" customHeight="1" s="345"/>
    <row r="799" ht="15.75" customHeight="1" s="345"/>
    <row r="800" ht="15.75" customHeight="1" s="345"/>
    <row r="801" ht="15.75" customHeight="1" s="345"/>
    <row r="802" ht="15.75" customHeight="1" s="345"/>
    <row r="803" ht="15.75" customHeight="1" s="345"/>
    <row r="804" ht="15.75" customHeight="1" s="345"/>
    <row r="805" ht="15.75" customHeight="1" s="345"/>
    <row r="806" ht="15.75" customHeight="1" s="345"/>
    <row r="807" ht="15.75" customHeight="1" s="345"/>
    <row r="808" ht="15.75" customHeight="1" s="345"/>
    <row r="809" ht="15.75" customHeight="1" s="345"/>
    <row r="810" ht="15.75" customHeight="1" s="345"/>
    <row r="811" ht="15.75" customHeight="1" s="345"/>
    <row r="812" ht="15.75" customHeight="1" s="345"/>
    <row r="813" ht="15.75" customHeight="1" s="345"/>
    <row r="814" ht="15.75" customHeight="1" s="345"/>
    <row r="815" ht="15.75" customHeight="1" s="345"/>
    <row r="816" ht="15.75" customHeight="1" s="345"/>
    <row r="817" ht="15.75" customHeight="1" s="345"/>
    <row r="818" ht="15.75" customHeight="1" s="345"/>
    <row r="819" ht="15.75" customHeight="1" s="345"/>
    <row r="820" ht="15.75" customHeight="1" s="345"/>
    <row r="821" ht="15.75" customHeight="1" s="345"/>
    <row r="822" ht="15.75" customHeight="1" s="345"/>
    <row r="823" ht="15.75" customHeight="1" s="345"/>
    <row r="824" ht="15.75" customHeight="1" s="345"/>
    <row r="825" ht="15.75" customHeight="1" s="345"/>
    <row r="826" ht="15.75" customHeight="1" s="345"/>
    <row r="827" ht="15.75" customHeight="1" s="345"/>
    <row r="828" ht="15.75" customHeight="1" s="345"/>
    <row r="829" ht="15.75" customHeight="1" s="345"/>
    <row r="830" ht="15.75" customHeight="1" s="345"/>
    <row r="831" ht="15.75" customHeight="1" s="345"/>
    <row r="832" ht="15.75" customHeight="1" s="345"/>
    <row r="833" ht="15.75" customHeight="1" s="345"/>
    <row r="834" ht="15.75" customHeight="1" s="345"/>
    <row r="835" ht="15.75" customHeight="1" s="345"/>
    <row r="836" ht="15.75" customHeight="1" s="345"/>
    <row r="837" ht="15.75" customHeight="1" s="345"/>
    <row r="838" ht="15.75" customHeight="1" s="345"/>
    <row r="839" ht="15.75" customHeight="1" s="345"/>
    <row r="840" ht="15.75" customHeight="1" s="345"/>
    <row r="841" ht="15.75" customHeight="1" s="345"/>
    <row r="842" ht="15.75" customHeight="1" s="345"/>
    <row r="843" ht="15.75" customHeight="1" s="345"/>
    <row r="844" ht="15.75" customHeight="1" s="345"/>
    <row r="845" ht="15.75" customHeight="1" s="345"/>
    <row r="846" ht="15.75" customHeight="1" s="345"/>
    <row r="847" ht="15.75" customHeight="1" s="345"/>
    <row r="848" ht="15.75" customHeight="1" s="345"/>
    <row r="849" ht="15.75" customHeight="1" s="345"/>
    <row r="850" ht="15.75" customHeight="1" s="345"/>
    <row r="851" ht="15.75" customHeight="1" s="345"/>
    <row r="852" ht="15.75" customHeight="1" s="345"/>
    <row r="853" ht="15.75" customHeight="1" s="345"/>
    <row r="854" ht="15.75" customHeight="1" s="345"/>
    <row r="855" ht="15.75" customHeight="1" s="345"/>
    <row r="856" ht="15.75" customHeight="1" s="345"/>
    <row r="857" ht="15.75" customHeight="1" s="345"/>
    <row r="858" ht="15.75" customHeight="1" s="345"/>
    <row r="859" ht="15.75" customHeight="1" s="345"/>
    <row r="860" ht="15.75" customHeight="1" s="345"/>
    <row r="861" ht="15.75" customHeight="1" s="345"/>
    <row r="862" ht="15.75" customHeight="1" s="345"/>
    <row r="863" ht="15.75" customHeight="1" s="345"/>
    <row r="864" ht="15.75" customHeight="1" s="345"/>
    <row r="865" ht="15.75" customHeight="1" s="345"/>
    <row r="866" ht="15.75" customHeight="1" s="345"/>
    <row r="867" ht="15.75" customHeight="1" s="345"/>
    <row r="868" ht="15.75" customHeight="1" s="345"/>
    <row r="869" ht="15.75" customHeight="1" s="345"/>
    <row r="870" ht="15.75" customHeight="1" s="345"/>
    <row r="871" ht="15.75" customHeight="1" s="345"/>
    <row r="872" ht="15.75" customHeight="1" s="345"/>
    <row r="873" ht="15.75" customHeight="1" s="345"/>
    <row r="874" ht="15.75" customHeight="1" s="345"/>
    <row r="875" ht="15.75" customHeight="1" s="345"/>
    <row r="876" ht="15.75" customHeight="1" s="345"/>
    <row r="877" ht="15.75" customHeight="1" s="345"/>
    <row r="878" ht="15.75" customHeight="1" s="345"/>
    <row r="879" ht="15.75" customHeight="1" s="345"/>
    <row r="880" ht="15.75" customHeight="1" s="345"/>
    <row r="881" ht="15.75" customHeight="1" s="345"/>
    <row r="882" ht="15.75" customHeight="1" s="345"/>
    <row r="883" ht="15.75" customHeight="1" s="345"/>
    <row r="884" ht="15.75" customHeight="1" s="345"/>
    <row r="885" ht="15.75" customHeight="1" s="345"/>
    <row r="886" ht="15.75" customHeight="1" s="345"/>
    <row r="887" ht="15.75" customHeight="1" s="345"/>
    <row r="888" ht="15.75" customHeight="1" s="345"/>
    <row r="889" ht="15.75" customHeight="1" s="345"/>
    <row r="890" ht="15.75" customHeight="1" s="345"/>
    <row r="891" ht="15.75" customHeight="1" s="345"/>
    <row r="892" ht="15.75" customHeight="1" s="345"/>
    <row r="893" ht="15.75" customHeight="1" s="345"/>
    <row r="894" ht="15.75" customHeight="1" s="345"/>
    <row r="895" ht="15.75" customHeight="1" s="345"/>
    <row r="896" ht="15.75" customHeight="1" s="345"/>
    <row r="897" ht="15.75" customHeight="1" s="345"/>
    <row r="898" ht="15.75" customHeight="1" s="345"/>
    <row r="899" ht="15.75" customHeight="1" s="345"/>
    <row r="900" ht="15.75" customHeight="1" s="345"/>
    <row r="901" ht="15.75" customHeight="1" s="345"/>
    <row r="902" ht="15.75" customHeight="1" s="345"/>
    <row r="903" ht="15.75" customHeight="1" s="345"/>
    <row r="904" ht="15.75" customHeight="1" s="345"/>
    <row r="905" ht="15.75" customHeight="1" s="345"/>
    <row r="906" ht="15.75" customHeight="1" s="345"/>
    <row r="907" ht="15.75" customHeight="1" s="345"/>
    <row r="908" ht="15.75" customHeight="1" s="345"/>
    <row r="909" ht="15.75" customHeight="1" s="345"/>
    <row r="910" ht="15.75" customHeight="1" s="345"/>
    <row r="911" ht="15.75" customHeight="1" s="345"/>
    <row r="912" ht="15.75" customHeight="1" s="345"/>
    <row r="913" ht="15.75" customHeight="1" s="345"/>
    <row r="914" ht="15.75" customHeight="1" s="345"/>
    <row r="915" ht="15.75" customHeight="1" s="345"/>
    <row r="916" ht="15.75" customHeight="1" s="345"/>
    <row r="917" ht="15.75" customHeight="1" s="345"/>
    <row r="918" ht="15.75" customHeight="1" s="345"/>
    <row r="919" ht="15.75" customHeight="1" s="345"/>
    <row r="920" ht="15.75" customHeight="1" s="345"/>
    <row r="921" ht="15.75" customHeight="1" s="345"/>
    <row r="922" ht="15.75" customHeight="1" s="345"/>
    <row r="923" ht="15.75" customHeight="1" s="345"/>
    <row r="924" ht="15.75" customHeight="1" s="345"/>
    <row r="925" ht="15.75" customHeight="1" s="345"/>
    <row r="926" ht="15.75" customHeight="1" s="345"/>
    <row r="927" ht="15.75" customHeight="1" s="345"/>
    <row r="928" ht="15.75" customHeight="1" s="345"/>
    <row r="929" ht="15.75" customHeight="1" s="345"/>
    <row r="930" ht="15.75" customHeight="1" s="345"/>
    <row r="931" ht="15.75" customHeight="1" s="345"/>
    <row r="932" ht="15.75" customHeight="1" s="345"/>
    <row r="933" ht="15.75" customHeight="1" s="345"/>
    <row r="934" ht="15.75" customHeight="1" s="345"/>
    <row r="935" ht="15.75" customHeight="1" s="345"/>
    <row r="936" ht="15.75" customHeight="1" s="345"/>
    <row r="937" ht="15.75" customHeight="1" s="345"/>
    <row r="938" ht="15.75" customHeight="1" s="345"/>
    <row r="939" ht="15.75" customHeight="1" s="345"/>
    <row r="940" ht="15.75" customHeight="1" s="345"/>
    <row r="941" ht="15.75" customHeight="1" s="345"/>
    <row r="942" ht="15.75" customHeight="1" s="345"/>
    <row r="943" ht="15.75" customHeight="1" s="345"/>
    <row r="944" ht="15.75" customHeight="1" s="345"/>
    <row r="945" ht="15.75" customHeight="1" s="345"/>
    <row r="946" ht="15.75" customHeight="1" s="345"/>
    <row r="947" ht="15.75" customHeight="1" s="345"/>
    <row r="948" ht="15.75" customHeight="1" s="345"/>
    <row r="949" ht="15.75" customHeight="1" s="345"/>
    <row r="950" ht="15.75" customHeight="1" s="345"/>
    <row r="951" ht="15.75" customHeight="1" s="345"/>
    <row r="952" ht="15.75" customHeight="1" s="345"/>
    <row r="953" ht="15.75" customHeight="1" s="345"/>
    <row r="954" ht="15.75" customHeight="1" s="345"/>
    <row r="955" ht="15.75" customHeight="1" s="345"/>
    <row r="956" ht="15.75" customHeight="1" s="345"/>
    <row r="957" ht="15.75" customHeight="1" s="345"/>
    <row r="958" ht="15.75" customHeight="1" s="345"/>
    <row r="959" ht="15.75" customHeight="1" s="345"/>
    <row r="960" ht="15.75" customHeight="1" s="345"/>
    <row r="961" ht="15.75" customHeight="1" s="345"/>
    <row r="962" ht="15.75" customHeight="1" s="345"/>
    <row r="963" ht="15.75" customHeight="1" s="345"/>
    <row r="964" ht="15.75" customHeight="1" s="345"/>
    <row r="965" ht="15.75" customHeight="1" s="345"/>
    <row r="966" ht="15.75" customHeight="1" s="345"/>
    <row r="967" ht="15.75" customHeight="1" s="345"/>
    <row r="968" ht="15.75" customHeight="1" s="345"/>
    <row r="969" ht="15.75" customHeight="1" s="345"/>
    <row r="970" ht="15.75" customHeight="1" s="345"/>
    <row r="971" ht="15.75" customHeight="1" s="345"/>
    <row r="972" ht="15.75" customHeight="1" s="345"/>
    <row r="973" ht="15.75" customHeight="1" s="345"/>
    <row r="974" ht="15.75" customHeight="1" s="345"/>
    <row r="975" ht="15.75" customHeight="1" s="345"/>
    <row r="976" ht="15.75" customHeight="1" s="345"/>
    <row r="977" ht="15.75" customHeight="1" s="345"/>
    <row r="978" ht="15.75" customHeight="1" s="345"/>
    <row r="979" ht="15.75" customHeight="1" s="345"/>
    <row r="980" ht="15.75" customHeight="1" s="345"/>
    <row r="981" ht="15.75" customHeight="1" s="345"/>
    <row r="982" ht="15.75" customHeight="1" s="345"/>
    <row r="983" ht="15.75" customHeight="1" s="345"/>
    <row r="984" ht="15.75" customHeight="1" s="345"/>
    <row r="985" ht="15.75" customHeight="1" s="345"/>
    <row r="986" ht="15.75" customHeight="1" s="345"/>
    <row r="987" ht="15.75" customHeight="1" s="345"/>
    <row r="988" ht="15.75" customHeight="1" s="345"/>
    <row r="989" ht="15.75" customHeight="1" s="345"/>
    <row r="990" ht="15.75" customHeight="1" s="345"/>
    <row r="991" ht="15.75" customHeight="1" s="345"/>
    <row r="992" ht="15.75" customHeight="1" s="345"/>
    <row r="993" ht="15.75" customHeight="1" s="345"/>
    <row r="994" ht="15.75" customHeight="1" s="345"/>
    <row r="995" ht="15.75" customHeight="1" s="345"/>
    <row r="996" ht="15.75" customHeight="1" s="345"/>
    <row r="997" ht="15.75" customHeight="1" s="345"/>
    <row r="998" ht="15.75" customHeight="1" s="345"/>
    <row r="999" ht="15.75" customHeight="1" s="345"/>
    <row r="1000" ht="15.75" customHeight="1" s="345"/>
  </sheetData>
  <autoFilter ref="$D$20:$H$32"/>
  <mergeCells count="1">
    <mergeCell ref="G151:I15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S268"/>
  <sheetViews>
    <sheetView workbookViewId="0">
      <selection activeCell="A1" sqref="A1"/>
    </sheetView>
  </sheetViews>
  <sheetFormatPr baseColWidth="8" defaultColWidth="12.63" defaultRowHeight="15" customHeight="1"/>
  <cols>
    <col width="12.63" customWidth="1" style="345" min="1" max="1"/>
    <col width="42.13" customWidth="1" style="345" min="2" max="2"/>
    <col width="78.63" customWidth="1" style="345" min="3" max="3"/>
    <col width="12.63" customWidth="1" style="345" min="4" max="6"/>
  </cols>
  <sheetData>
    <row r="1" ht="15.75" customHeight="1" s="345">
      <c r="A1" s="35" t="n"/>
      <c r="B1" s="330" t="inlineStr">
        <is>
          <t>DELIVERABLE</t>
        </is>
      </c>
      <c r="C1" s="331" t="inlineStr">
        <is>
          <t>DESCRIPTION</t>
        </is>
      </c>
      <c r="D1" s="332" t="n"/>
      <c r="E1" s="332" t="n"/>
      <c r="F1" s="332" t="n"/>
      <c r="G1" s="332" t="n"/>
      <c r="H1" s="332" t="n"/>
      <c r="I1" s="332" t="n"/>
      <c r="J1" s="332" t="n"/>
      <c r="K1" s="332" t="n"/>
      <c r="L1" s="332" t="n"/>
      <c r="M1" s="332" t="n"/>
      <c r="N1" s="332" t="n"/>
      <c r="O1" s="332" t="n"/>
      <c r="P1" s="332" t="n"/>
      <c r="Q1" s="332" t="n"/>
      <c r="R1" s="332" t="n"/>
      <c r="S1" s="332" t="n"/>
    </row>
    <row r="2" ht="15.75" customHeight="1" s="345">
      <c r="A2" s="346" t="inlineStr">
        <is>
          <t>Design</t>
        </is>
      </c>
      <c r="B2" s="333" t="inlineStr">
        <is>
          <t>Learning Design Sprint (Design Document)</t>
        </is>
      </c>
      <c r="C2" s="334" t="inlineStr">
        <is>
          <t xml:space="preserve">A focused, collaborative engagement that helps organizations move from strategy to a high-level program design and implementation plan – fast. Provides a structured process (design document) to clarify purpose, align on design principles, and map out a launch plan for each program.
</t>
        </is>
      </c>
      <c r="D2" s="335" t="n"/>
      <c r="E2" s="335" t="n"/>
      <c r="F2" s="335" t="n"/>
      <c r="G2" s="335" t="n"/>
      <c r="H2" s="335" t="n"/>
      <c r="I2" s="335" t="n"/>
      <c r="J2" s="335" t="n"/>
      <c r="K2" s="335" t="n"/>
      <c r="L2" s="335" t="n"/>
      <c r="M2" s="335" t="n"/>
      <c r="N2" s="335" t="n"/>
      <c r="O2" s="332" t="n"/>
      <c r="P2" s="332" t="n"/>
      <c r="Q2" s="332" t="n"/>
      <c r="R2" s="332" t="n"/>
      <c r="S2" s="332" t="n"/>
    </row>
    <row r="3" ht="15.75" customHeight="1" s="345">
      <c r="A3" s="347" t="n"/>
      <c r="B3" s="333" t="inlineStr">
        <is>
          <t>F2F Hackathon - 1 Day</t>
        </is>
      </c>
      <c r="C3" s="336" t="inlineStr">
        <is>
          <t>A collaborative, creative 1-day experience that brings together AIIR solutions architects and client partners to co-create learning deliverables.</t>
        </is>
      </c>
      <c r="D3" s="335" t="n"/>
      <c r="E3" s="335" t="n"/>
      <c r="F3" s="335" t="n"/>
      <c r="G3" s="335" t="n"/>
      <c r="H3" s="335" t="n"/>
      <c r="I3" s="335" t="n"/>
      <c r="J3" s="335" t="n"/>
      <c r="K3" s="332" t="n"/>
      <c r="L3" s="332" t="n"/>
      <c r="M3" s="332" t="n"/>
      <c r="N3" s="332" t="n"/>
      <c r="O3" s="332" t="n"/>
      <c r="P3" s="332" t="n"/>
      <c r="Q3" s="332" t="n"/>
      <c r="R3" s="332" t="n"/>
      <c r="S3" s="332" t="n"/>
    </row>
    <row r="4" ht="15.75" customHeight="1" s="345">
      <c r="A4" s="347" t="n"/>
      <c r="B4" s="333" t="inlineStr">
        <is>
          <t>F2F Hackathon - 2 Day</t>
        </is>
      </c>
      <c r="C4" s="337" t="inlineStr">
        <is>
          <t>A collaborative, creative 2-day experience that brings together AIIR solutions architects and client partners to co-create learning deliverables.</t>
        </is>
      </c>
      <c r="D4" s="332" t="n"/>
      <c r="E4" s="332" t="n"/>
      <c r="F4" s="332" t="n"/>
      <c r="G4" s="332" t="n"/>
      <c r="H4" s="332" t="n"/>
      <c r="I4" s="332" t="n"/>
      <c r="J4" s="332" t="n"/>
      <c r="K4" s="332" t="n"/>
      <c r="L4" s="332" t="n"/>
      <c r="M4" s="332" t="n"/>
      <c r="N4" s="332" t="n"/>
      <c r="O4" s="332" t="n"/>
      <c r="P4" s="332" t="n"/>
      <c r="Q4" s="332" t="n"/>
      <c r="R4" s="332" t="n"/>
      <c r="S4" s="332" t="n"/>
    </row>
    <row r="5" ht="15.75" customHeight="1" s="345">
      <c r="A5" s="347" t="n"/>
      <c r="B5" s="333" t="inlineStr">
        <is>
          <t xml:space="preserve">F2F Hackathon - 3 Day </t>
        </is>
      </c>
      <c r="C5" s="337" t="inlineStr">
        <is>
          <t>A collaborative, creative 3-day experience that brings together AIIR solutions architects and client partners to co-create learning deliverables.</t>
        </is>
      </c>
      <c r="D5" s="332" t="n"/>
      <c r="E5" s="332" t="n"/>
      <c r="F5" s="332" t="n"/>
      <c r="G5" s="332" t="n"/>
      <c r="H5" s="332" t="n"/>
      <c r="I5" s="332" t="n"/>
      <c r="J5" s="332" t="n"/>
      <c r="K5" s="332" t="n"/>
      <c r="L5" s="332" t="n"/>
      <c r="M5" s="332" t="n"/>
      <c r="N5" s="332" t="n"/>
      <c r="O5" s="332" t="n"/>
      <c r="P5" s="332" t="n"/>
      <c r="Q5" s="332" t="n"/>
      <c r="R5" s="332" t="n"/>
      <c r="S5" s="332" t="n"/>
    </row>
    <row r="6" ht="15.75" customHeight="1" s="345">
      <c r="A6" s="347" t="n"/>
      <c r="B6" s="333" t="inlineStr">
        <is>
          <t>F2F Hackathon - 4 Day</t>
        </is>
      </c>
      <c r="C6" s="337" t="inlineStr">
        <is>
          <t>A collaborative, creative 4-day experience that brings together AIIR solutions architects and client partners to co-create learning deliverables.</t>
        </is>
      </c>
      <c r="D6" s="332" t="n"/>
      <c r="E6" s="332" t="n"/>
      <c r="F6" s="332" t="n"/>
      <c r="G6" s="332" t="n"/>
      <c r="H6" s="332" t="n"/>
      <c r="I6" s="332" t="n"/>
      <c r="J6" s="332" t="n"/>
      <c r="K6" s="332" t="n"/>
      <c r="L6" s="332" t="n"/>
      <c r="M6" s="332" t="n"/>
      <c r="N6" s="332" t="n"/>
      <c r="O6" s="332" t="n"/>
      <c r="P6" s="332" t="n"/>
      <c r="Q6" s="332" t="n"/>
      <c r="R6" s="332" t="n"/>
      <c r="S6" s="332" t="n"/>
    </row>
    <row r="7" ht="15.75" customHeight="1" s="345">
      <c r="A7" s="347" t="n"/>
      <c r="B7" s="333" t="inlineStr">
        <is>
          <t xml:space="preserve">F2F Hackathon - 5 Day </t>
        </is>
      </c>
      <c r="C7" s="337" t="inlineStr">
        <is>
          <t>A collaborative, creative 5-day experience that brings together AIIR solutions architects and client partners to co-create learning deliverables.</t>
        </is>
      </c>
      <c r="D7" s="332" t="n"/>
      <c r="E7" s="332" t="n"/>
      <c r="F7" s="332" t="n"/>
      <c r="G7" s="332" t="n"/>
      <c r="H7" s="332" t="n"/>
      <c r="I7" s="332" t="n"/>
      <c r="J7" s="332" t="n"/>
      <c r="K7" s="332" t="n"/>
      <c r="L7" s="332" t="n"/>
      <c r="M7" s="332" t="n"/>
      <c r="N7" s="332" t="n"/>
      <c r="O7" s="332" t="n"/>
      <c r="P7" s="332" t="n"/>
      <c r="Q7" s="332" t="n"/>
      <c r="R7" s="332" t="n"/>
      <c r="S7" s="332" t="n"/>
    </row>
    <row r="8" ht="15.75" customHeight="1" s="345">
      <c r="A8" s="347" t="n"/>
      <c r="B8" s="333" t="inlineStr">
        <is>
          <t>Virtual Hackathon - 4hr</t>
        </is>
      </c>
      <c r="C8" s="337" t="inlineStr">
        <is>
          <t>A collaborative, creative 1/2-day virtual experience that brings together AIIR solutions architects and client partners to co-create learning deliverables.</t>
        </is>
      </c>
      <c r="D8" s="332" t="n"/>
      <c r="E8" s="332" t="n"/>
      <c r="F8" s="332" t="n"/>
      <c r="G8" s="332" t="n"/>
      <c r="H8" s="332" t="n"/>
      <c r="I8" s="332" t="n"/>
      <c r="J8" s="332" t="n"/>
      <c r="K8" s="332" t="n"/>
      <c r="L8" s="332" t="n"/>
      <c r="M8" s="332" t="n"/>
      <c r="N8" s="332" t="n"/>
      <c r="O8" s="332" t="n"/>
      <c r="P8" s="332" t="n"/>
      <c r="Q8" s="332" t="n"/>
      <c r="R8" s="332" t="n"/>
      <c r="S8" s="332" t="n"/>
    </row>
    <row r="9" ht="15.75" customHeight="1" s="345">
      <c r="A9" s="348" t="n"/>
      <c r="B9" s="333" t="inlineStr">
        <is>
          <t>Virtual Hackathon - 8hr</t>
        </is>
      </c>
      <c r="C9" s="337" t="inlineStr">
        <is>
          <t>A collaborative, creative 1-day virtual experience that brings together AIIR solutions architects and client partners to co-create learning deliverables.</t>
        </is>
      </c>
      <c r="D9" s="332" t="n"/>
      <c r="E9" s="332" t="n"/>
      <c r="F9" s="332" t="n"/>
      <c r="G9" s="332" t="n"/>
      <c r="H9" s="332" t="n"/>
      <c r="I9" s="332" t="n"/>
      <c r="J9" s="332" t="n"/>
      <c r="K9" s="332" t="n"/>
      <c r="L9" s="332" t="n"/>
      <c r="M9" s="332" t="n"/>
      <c r="N9" s="332" t="n"/>
      <c r="O9" s="332" t="n"/>
      <c r="P9" s="332" t="n"/>
      <c r="Q9" s="332" t="n"/>
      <c r="R9" s="332" t="n"/>
      <c r="S9" s="332" t="n"/>
    </row>
    <row r="10" ht="15.75" customHeight="1" s="345">
      <c r="A10" s="332" t="n"/>
      <c r="B10" s="338" t="n"/>
      <c r="C10" s="332" t="n"/>
      <c r="D10" s="332" t="n"/>
      <c r="E10" s="332" t="n"/>
      <c r="F10" s="332" t="n"/>
      <c r="G10" s="332" t="n"/>
      <c r="H10" s="332" t="n"/>
      <c r="I10" s="332" t="n"/>
      <c r="J10" s="332" t="n"/>
      <c r="K10" s="332" t="n"/>
      <c r="L10" s="332" t="n"/>
      <c r="M10" s="332" t="n"/>
      <c r="N10" s="332" t="n"/>
      <c r="O10" s="332" t="n"/>
      <c r="P10" s="332" t="n"/>
      <c r="Q10" s="332" t="n"/>
      <c r="R10" s="332" t="n"/>
      <c r="S10" s="332" t="n"/>
    </row>
    <row r="11" ht="15.75" customHeight="1" s="345">
      <c r="A11" s="35" t="n"/>
      <c r="B11" s="330" t="inlineStr">
        <is>
          <t>DELIVERABLE</t>
        </is>
      </c>
      <c r="C11" s="331" t="inlineStr">
        <is>
          <t>DESCRIPTION</t>
        </is>
      </c>
      <c r="D11" s="332" t="n"/>
      <c r="E11" s="332" t="n"/>
      <c r="F11" s="332" t="n"/>
      <c r="G11" s="332" t="n"/>
      <c r="H11" s="332" t="n"/>
      <c r="I11" s="332" t="n"/>
      <c r="J11" s="332" t="n"/>
      <c r="K11" s="332" t="n"/>
      <c r="L11" s="332" t="n"/>
      <c r="M11" s="332" t="n"/>
      <c r="N11" s="332" t="n"/>
      <c r="O11" s="332" t="n"/>
      <c r="P11" s="332" t="n"/>
      <c r="Q11" s="332" t="n"/>
      <c r="R11" s="332" t="n"/>
      <c r="S11" s="332" t="n"/>
    </row>
    <row r="12" ht="15.75" customHeight="1" s="345">
      <c r="A12" s="350" t="inlineStr">
        <is>
          <t>Development</t>
        </is>
      </c>
      <c r="B12" s="333" t="inlineStr">
        <is>
          <t>Pre-Program Capstone</t>
        </is>
      </c>
      <c r="C12" s="334" t="inlineStr">
        <is>
          <t>A session designed to introduce a capstone project/business challenges, divide participants into teams, and provide structured time to plan their project and assign accountabilities. Available F2F or Virtual.</t>
        </is>
      </c>
      <c r="D12" s="332" t="n"/>
      <c r="E12" s="332" t="n"/>
      <c r="F12" s="332" t="n"/>
      <c r="G12" s="332" t="n"/>
      <c r="H12" s="332" t="n"/>
      <c r="I12" s="332" t="n"/>
      <c r="J12" s="332" t="n"/>
      <c r="K12" s="332" t="n"/>
      <c r="L12" s="332" t="n"/>
      <c r="M12" s="332" t="n"/>
      <c r="N12" s="332" t="n"/>
      <c r="O12" s="332" t="n"/>
      <c r="P12" s="332" t="n"/>
      <c r="Q12" s="332" t="n"/>
      <c r="R12" s="332" t="n"/>
      <c r="S12" s="332" t="n"/>
    </row>
    <row r="13" ht="15.75" customHeight="1" s="345">
      <c r="A13" s="347" t="n"/>
      <c r="B13" s="333" t="inlineStr">
        <is>
          <t>Post-Program Capstone</t>
        </is>
      </c>
      <c r="C13" s="336" t="inlineStr">
        <is>
          <t>A session designed to give participants a platform to present back their results and recommendations following the completion of their chosen capstone project. Available F2F or Virtual.</t>
        </is>
      </c>
      <c r="D13" s="332" t="n"/>
      <c r="E13" s="332" t="n"/>
      <c r="F13" s="332" t="n"/>
      <c r="G13" s="332" t="n"/>
      <c r="H13" s="332" t="n"/>
      <c r="I13" s="332" t="n"/>
      <c r="J13" s="332" t="n"/>
      <c r="K13" s="332" t="n"/>
      <c r="L13" s="332" t="n"/>
      <c r="M13" s="332" t="n"/>
      <c r="N13" s="332" t="n"/>
      <c r="O13" s="332" t="n"/>
      <c r="P13" s="332" t="n"/>
      <c r="Q13" s="332" t="n"/>
      <c r="R13" s="332" t="n"/>
      <c r="S13" s="332" t="n"/>
    </row>
    <row r="14" ht="15.75" customHeight="1" s="345">
      <c r="A14" s="347" t="n"/>
      <c r="B14" s="333" t="inlineStr">
        <is>
          <t>Immersive Learning Offsite (F2F)</t>
        </is>
      </c>
      <c r="C14" s="336" t="inlineStr">
        <is>
          <t>Bespoke learning event design bringing together a unique combination of AIIR content, new models, immersive experiences, simulated scenarios, and keynote speakers.</t>
        </is>
      </c>
      <c r="D14" s="332" t="n"/>
      <c r="E14" s="332" t="n"/>
      <c r="F14" s="332" t="n"/>
      <c r="G14" s="332" t="n"/>
      <c r="H14" s="332" t="n"/>
      <c r="I14" s="332" t="n"/>
      <c r="J14" s="332" t="n"/>
      <c r="K14" s="332" t="n"/>
      <c r="L14" s="332" t="n"/>
      <c r="M14" s="332" t="n"/>
      <c r="N14" s="332" t="n"/>
      <c r="O14" s="332" t="n"/>
      <c r="P14" s="332" t="n"/>
      <c r="Q14" s="332" t="n"/>
      <c r="R14" s="332" t="n"/>
      <c r="S14" s="332" t="n"/>
    </row>
    <row r="15" ht="15.75" customHeight="1" s="345">
      <c r="A15" s="347" t="n"/>
      <c r="B15" s="333" t="inlineStr">
        <is>
          <t>Learning Circle (Virtual)</t>
        </is>
      </c>
      <c r="C15" s="337" t="inlineStr">
        <is>
          <t>A structured, yet informal, group reinforcement experience designed to foster reflection, accountability, and peer-supported growth</t>
        </is>
      </c>
      <c r="D15" s="332" t="n"/>
      <c r="E15" s="332" t="n"/>
      <c r="F15" s="332" t="n"/>
      <c r="G15" s="332" t="n"/>
      <c r="H15" s="332" t="n"/>
      <c r="I15" s="332" t="n"/>
      <c r="J15" s="332" t="n"/>
      <c r="K15" s="332" t="n"/>
      <c r="L15" s="332" t="n"/>
      <c r="M15" s="332" t="n"/>
      <c r="N15" s="332" t="n"/>
      <c r="O15" s="332" t="n"/>
      <c r="P15" s="332" t="n"/>
      <c r="Q15" s="332" t="n"/>
      <c r="R15" s="332" t="n"/>
      <c r="S15" s="332" t="n"/>
    </row>
    <row r="16" ht="15.75" customHeight="1" s="345">
      <c r="A16" s="347" t="n"/>
      <c r="B16" s="333" t="inlineStr">
        <is>
          <t>Immersive Virtual Engagement - Nudge</t>
        </is>
      </c>
      <c r="C16" s="336" t="inlineStr">
        <is>
          <t xml:space="preserve">Sustainment tool designed to reinforce behavior learned in an Immersive Learning Offsite, and provide participants with a challenge/case study for an upcoming Immersive Virtual Engagement Session. </t>
        </is>
      </c>
      <c r="D16" s="332" t="n"/>
      <c r="E16" s="332" t="n"/>
      <c r="F16" s="332" t="n"/>
      <c r="G16" s="332" t="n"/>
      <c r="H16" s="332" t="n"/>
      <c r="I16" s="332" t="n"/>
      <c r="J16" s="332" t="n"/>
      <c r="K16" s="332" t="n"/>
      <c r="L16" s="332" t="n"/>
      <c r="M16" s="332" t="n"/>
      <c r="N16" s="332" t="n"/>
      <c r="O16" s="332" t="n"/>
      <c r="P16" s="332" t="n"/>
      <c r="Q16" s="332" t="n"/>
      <c r="R16" s="332" t="n"/>
      <c r="S16" s="332" t="n"/>
    </row>
    <row r="17" ht="15.75" customHeight="1" s="345">
      <c r="A17" s="347" t="n"/>
      <c r="B17" s="333" t="inlineStr">
        <is>
          <t>Immersive Virtual Engagement - Session</t>
        </is>
      </c>
      <c r="C17" s="337" t="inlineStr">
        <is>
          <t>Bespoke virtual learning session designed to drive application of learning around an organizational challenge or case study.</t>
        </is>
      </c>
      <c r="D17" s="332" t="n"/>
      <c r="E17" s="332" t="n"/>
      <c r="F17" s="332" t="n"/>
      <c r="G17" s="332" t="n"/>
      <c r="H17" s="332" t="n"/>
      <c r="I17" s="332" t="n"/>
      <c r="J17" s="332" t="n"/>
      <c r="K17" s="332" t="n"/>
      <c r="L17" s="332" t="n"/>
      <c r="M17" s="332" t="n"/>
      <c r="N17" s="332" t="n"/>
      <c r="O17" s="332" t="n"/>
      <c r="P17" s="332" t="n"/>
      <c r="Q17" s="332" t="n"/>
      <c r="R17" s="332" t="n"/>
      <c r="S17" s="332" t="n"/>
    </row>
    <row r="18" ht="15.75" customHeight="1" s="345">
      <c r="A18" s="347" t="n"/>
      <c r="B18" s="333" t="inlineStr">
        <is>
          <t>Insight Cafe</t>
        </is>
      </c>
      <c r="C18" s="337" t="inlineStr">
        <is>
          <t xml:space="preserve">Engagement session designed to build belief in a change initiative/learning journey. Participants are divided into groups, discuss provocative questions related to the journey, and what it means for them. Available F2F or Virtual.
</t>
        </is>
      </c>
      <c r="D18" s="332" t="n"/>
      <c r="E18" s="332" t="n"/>
      <c r="F18" s="332" t="n"/>
      <c r="G18" s="332" t="n"/>
      <c r="H18" s="332" t="n"/>
      <c r="I18" s="332" t="n"/>
      <c r="J18" s="332" t="n"/>
      <c r="K18" s="332" t="n"/>
      <c r="L18" s="332" t="n"/>
      <c r="M18" s="332" t="n"/>
      <c r="N18" s="332" t="n"/>
      <c r="O18" s="332" t="n"/>
      <c r="P18" s="332" t="n"/>
      <c r="Q18" s="332" t="n"/>
      <c r="R18" s="332" t="n"/>
      <c r="S18" s="332" t="n"/>
    </row>
    <row r="19" ht="15.75" customHeight="1" s="345">
      <c r="A19" s="347" t="n"/>
      <c r="B19" s="333" t="inlineStr">
        <is>
          <t>Skill-Build Workshop (Standard)</t>
        </is>
      </c>
      <c r="C19" s="340" t="inlineStr">
        <is>
          <t xml:space="preserve">No changes to the content of one standard AIIR module. For clients who are satisfied with an AIIR module, right of the shelf, with no content design changes.
</t>
        </is>
      </c>
      <c r="D19" s="335" t="n"/>
      <c r="E19" s="335" t="n"/>
      <c r="F19" s="335" t="n"/>
      <c r="G19" s="335" t="n"/>
      <c r="H19" s="335" t="n"/>
      <c r="I19" s="335" t="n"/>
      <c r="J19" s="332" t="n"/>
      <c r="K19" s="332" t="n"/>
      <c r="L19" s="332" t="n"/>
      <c r="M19" s="332" t="n"/>
      <c r="N19" s="332" t="n"/>
      <c r="O19" s="332" t="n"/>
      <c r="P19" s="332" t="n"/>
      <c r="Q19" s="332" t="n"/>
      <c r="R19" s="332" t="n"/>
      <c r="S19" s="332" t="n"/>
    </row>
    <row r="20" ht="15.75" customHeight="1" s="345">
      <c r="A20" s="347" t="n"/>
      <c r="B20" s="333" t="inlineStr">
        <is>
          <t>Skill-Build Workshop (Tailored)</t>
        </is>
      </c>
      <c r="C20" s="337" t="inlineStr">
        <is>
          <t xml:space="preserve">Light content changes to one standard AIIR module. For clients who are satisfied with an AIIR module, but would like the messaging and look of the content to fit better with their culture.
</t>
        </is>
      </c>
      <c r="D20" s="332" t="n"/>
      <c r="E20" s="332" t="n"/>
      <c r="F20" s="332" t="n"/>
      <c r="G20" s="332" t="n"/>
      <c r="H20" s="332" t="n"/>
      <c r="I20" s="332" t="n"/>
      <c r="J20" s="332" t="n"/>
      <c r="K20" s="332" t="n"/>
      <c r="L20" s="332" t="n"/>
      <c r="M20" s="332" t="n"/>
      <c r="N20" s="332" t="n"/>
      <c r="O20" s="332" t="n"/>
      <c r="P20" s="332" t="n"/>
      <c r="Q20" s="332" t="n"/>
      <c r="R20" s="332" t="n"/>
      <c r="S20" s="332" t="n"/>
    </row>
    <row r="21" ht="15.75" customHeight="1" s="345">
      <c r="A21" s="347" t="n"/>
      <c r="B21" s="333" t="inlineStr">
        <is>
          <t>Skill-Build Workshop (Customized)</t>
        </is>
      </c>
      <c r="C21" s="337" t="inlineStr">
        <is>
          <t xml:space="preserve">Significant changes to one standard AIIR module OR the merging of multiple AIIR modules into a new fit-for-purpose session. For clients who are satisfied with an AIIR module, but would like to alter the exercises/experience to fit their needs OR clients who want to draw from multiple AIIR modules to create a fit-for-purpose experience.
</t>
        </is>
      </c>
      <c r="D21" s="332" t="n"/>
      <c r="E21" s="332" t="n"/>
      <c r="F21" s="332" t="n"/>
      <c r="G21" s="332" t="n"/>
      <c r="H21" s="332" t="n"/>
      <c r="I21" s="332" t="n"/>
      <c r="J21" s="332" t="n"/>
      <c r="K21" s="332" t="n"/>
      <c r="L21" s="332" t="n"/>
      <c r="M21" s="332" t="n"/>
      <c r="N21" s="332" t="n"/>
      <c r="O21" s="332" t="n"/>
      <c r="P21" s="332" t="n"/>
      <c r="Q21" s="332" t="n"/>
      <c r="R21" s="332" t="n"/>
      <c r="S21" s="332" t="n"/>
    </row>
    <row r="22" ht="15.75" customHeight="1" s="345">
      <c r="A22" s="347" t="n"/>
      <c r="B22" s="333" t="inlineStr">
        <is>
          <t>Skill-Build Workshop (Bespoke)</t>
        </is>
      </c>
      <c r="C22" s="337" t="inlineStr">
        <is>
          <t xml:space="preserve">Client can request brand new content or change content any way they wish. For clients who are interested in combining AIIR content, with non-AIIR content, or want a “from scratch” experience.
</t>
        </is>
      </c>
      <c r="D22" s="332" t="n"/>
      <c r="E22" s="332" t="n"/>
      <c r="F22" s="332" t="n"/>
      <c r="G22" s="332" t="n"/>
      <c r="H22" s="332" t="n"/>
      <c r="I22" s="332" t="n"/>
      <c r="J22" s="332" t="n"/>
      <c r="K22" s="332" t="n"/>
      <c r="L22" s="332" t="n"/>
      <c r="M22" s="332" t="n"/>
      <c r="N22" s="332" t="n"/>
      <c r="O22" s="332" t="n"/>
      <c r="P22" s="332" t="n"/>
      <c r="Q22" s="332" t="n"/>
      <c r="R22" s="332" t="n"/>
      <c r="S22" s="332" t="n"/>
    </row>
    <row r="23" ht="15.75" customHeight="1" s="345">
      <c r="A23" s="347" t="n"/>
      <c r="B23" s="333" t="inlineStr">
        <is>
          <t>Behavior Activation Toolkit</t>
        </is>
      </c>
      <c r="C23" s="337" t="inlineStr">
        <is>
          <t>Sustainment tool designed to help participants practice the behaviors they’ve learned back on the job. Interactive PDF (12-15 pages) with the following inclusions:
* Program roadmap
* Skill-building tips
* 3x tools per behavior/skill
* List of further resources (books, articles, TED talks)</t>
        </is>
      </c>
      <c r="D23" s="332" t="n"/>
      <c r="E23" s="332" t="n"/>
      <c r="F23" s="332" t="n"/>
      <c r="G23" s="332" t="n"/>
      <c r="H23" s="332" t="n"/>
      <c r="I23" s="332" t="n"/>
      <c r="J23" s="332" t="n"/>
      <c r="K23" s="332" t="n"/>
      <c r="L23" s="332" t="n"/>
      <c r="M23" s="332" t="n"/>
      <c r="N23" s="332" t="n"/>
      <c r="O23" s="332" t="n"/>
      <c r="P23" s="332" t="n"/>
      <c r="Q23" s="332" t="n"/>
      <c r="R23" s="332" t="n"/>
      <c r="S23" s="332" t="n"/>
    </row>
    <row r="24" ht="15.75" customHeight="1" s="345">
      <c r="A24" s="347" t="n"/>
      <c r="B24" s="333" t="inlineStr">
        <is>
          <t>Dialogue Toolkit (Leader as Teacher)</t>
        </is>
      </c>
      <c r="C24" s="337" t="inlineStr">
        <is>
          <t>Sustainment tool designed to help participants facilitate discussions about the content with others who have attended a learning program. Includes: 
* 15-20 slide facilitation deck
* Facilitation notes (in deck)</t>
        </is>
      </c>
      <c r="D24" s="332" t="n"/>
      <c r="E24" s="332" t="n"/>
      <c r="F24" s="332" t="n"/>
      <c r="G24" s="332" t="n"/>
      <c r="H24" s="332" t="n"/>
      <c r="I24" s="332" t="n"/>
      <c r="J24" s="332" t="n"/>
      <c r="K24" s="332" t="n"/>
      <c r="L24" s="332" t="n"/>
      <c r="M24" s="332" t="n"/>
      <c r="N24" s="332" t="n"/>
      <c r="O24" s="332" t="n"/>
      <c r="P24" s="332" t="n"/>
      <c r="Q24" s="332" t="n"/>
      <c r="R24" s="332" t="n"/>
      <c r="S24" s="332" t="n"/>
    </row>
    <row r="25" ht="15.75" customHeight="1" s="345">
      <c r="A25" s="347" t="n"/>
      <c r="B25" s="333" t="inlineStr">
        <is>
          <t>Nudge</t>
        </is>
      </c>
      <c r="C25" s="340" t="inlineStr">
        <is>
          <t>Sustainment tool designed to reinforce behavior by encouraging participants to practice one skill or habit back on the job.</t>
        </is>
      </c>
      <c r="D25" s="341" t="n"/>
      <c r="E25" s="341" t="n"/>
      <c r="F25" s="341" t="n"/>
      <c r="G25" s="341" t="n"/>
      <c r="H25" s="332" t="n"/>
      <c r="I25" s="332" t="n"/>
      <c r="J25" s="332" t="n"/>
      <c r="K25" s="332" t="n"/>
      <c r="L25" s="332" t="n"/>
      <c r="M25" s="332" t="n"/>
      <c r="N25" s="332" t="n"/>
      <c r="O25" s="332" t="n"/>
      <c r="P25" s="332" t="n"/>
      <c r="Q25" s="332" t="n"/>
      <c r="R25" s="332" t="n"/>
      <c r="S25" s="332" t="n"/>
    </row>
    <row r="26" ht="15.75" customHeight="1" s="345">
      <c r="A26" s="347" t="n"/>
      <c r="B26" s="333" t="inlineStr">
        <is>
          <t>Peer Coaching</t>
        </is>
      </c>
      <c r="C26" s="337" t="inlineStr">
        <is>
          <t xml:space="preserve">Either digital (interactive PDF) or physical conversation guide to facilitate peer-to-peer reflection and relationships. Contains:
* Overview of journey
* Guidance on interactions and conversations
* Journey specific conversation prompts
* Areas for note keeping and reflections
</t>
        </is>
      </c>
      <c r="D26" s="332" t="n"/>
      <c r="E26" s="332" t="n"/>
      <c r="F26" s="332" t="n"/>
      <c r="G26" s="332" t="n"/>
      <c r="H26" s="332" t="n"/>
      <c r="I26" s="332" t="n"/>
      <c r="J26" s="332" t="n"/>
      <c r="K26" s="332" t="n"/>
      <c r="L26" s="332" t="n"/>
      <c r="M26" s="332" t="n"/>
      <c r="N26" s="332" t="n"/>
      <c r="O26" s="332" t="n"/>
      <c r="P26" s="332" t="n"/>
      <c r="Q26" s="332" t="n"/>
      <c r="R26" s="332" t="n"/>
      <c r="S26" s="332" t="n"/>
    </row>
    <row r="27" ht="15.75" customHeight="1" s="345">
      <c r="A27" s="347" t="n"/>
      <c r="B27" s="333" t="inlineStr">
        <is>
          <t>Action Learning</t>
        </is>
      </c>
      <c r="C27" s="337" t="n"/>
      <c r="D27" s="332" t="n"/>
      <c r="E27" s="332" t="n"/>
      <c r="F27" s="332" t="n"/>
      <c r="G27" s="332" t="n"/>
      <c r="H27" s="332" t="n"/>
      <c r="I27" s="332" t="n"/>
      <c r="J27" s="332" t="n"/>
      <c r="K27" s="332" t="n"/>
      <c r="L27" s="332" t="n"/>
      <c r="M27" s="332" t="n"/>
      <c r="N27" s="332" t="n"/>
      <c r="O27" s="332" t="n"/>
      <c r="P27" s="332" t="n"/>
      <c r="Q27" s="332" t="n"/>
      <c r="R27" s="332" t="n"/>
      <c r="S27" s="332" t="n"/>
    </row>
    <row r="28" ht="15.75" customHeight="1" s="345">
      <c r="A28" s="347" t="n"/>
      <c r="B28" s="333" t="inlineStr">
        <is>
          <t>Principles/Values Workshop (Standard)</t>
        </is>
      </c>
      <c r="C28" s="337" t="inlineStr">
        <is>
          <t>No changes to the content of one standard AIIR module. For clients who are satisfied with an AIIR module to represent one of their leadership principles/values right of the shelf, with no content design changes. (NOTE: requires a strong facilitator brief to ensure connection to desired leadership principle/value.</t>
        </is>
      </c>
      <c r="D28" s="332" t="n"/>
      <c r="E28" s="332" t="n"/>
      <c r="F28" s="332" t="n"/>
      <c r="G28" s="332" t="n"/>
      <c r="H28" s="332" t="n"/>
      <c r="I28" s="332" t="n"/>
      <c r="J28" s="332" t="n"/>
      <c r="K28" s="332" t="n"/>
      <c r="L28" s="332" t="n"/>
      <c r="M28" s="332" t="n"/>
      <c r="N28" s="332" t="n"/>
      <c r="O28" s="332" t="n"/>
      <c r="P28" s="332" t="n"/>
      <c r="Q28" s="332" t="n"/>
      <c r="R28" s="332" t="n"/>
      <c r="S28" s="332" t="n"/>
    </row>
    <row r="29" ht="15.75" customHeight="1" s="345">
      <c r="A29" s="347" t="n"/>
      <c r="B29" s="333" t="inlineStr">
        <is>
          <t>Principles/Values Workshop (Tailored)</t>
        </is>
      </c>
      <c r="C29" s="337" t="inlineStr">
        <is>
          <t>Light content changes to one standard AIIR module. For clients who are satisfied with an AIIR module to represent one of their leadership principles/values, but would like the messaging and look of the content to fit better with their culture.</t>
        </is>
      </c>
      <c r="D29" s="332" t="n"/>
      <c r="E29" s="332" t="n"/>
      <c r="F29" s="332" t="n"/>
      <c r="G29" s="332" t="n"/>
      <c r="H29" s="332" t="n"/>
      <c r="I29" s="332" t="n"/>
      <c r="J29" s="332" t="n"/>
      <c r="K29" s="332" t="n"/>
      <c r="L29" s="332" t="n"/>
      <c r="M29" s="332" t="n"/>
      <c r="N29" s="332" t="n"/>
      <c r="O29" s="332" t="n"/>
      <c r="P29" s="332" t="n"/>
      <c r="Q29" s="332" t="n"/>
      <c r="R29" s="332" t="n"/>
      <c r="S29" s="332" t="n"/>
    </row>
    <row r="30" ht="15.75" customHeight="1" s="345">
      <c r="A30" s="347" t="n"/>
      <c r="B30" s="333" t="inlineStr">
        <is>
          <t>Principles/Values Workshop (Customized)</t>
        </is>
      </c>
      <c r="C30" s="337" t="inlineStr">
        <is>
          <t>Significant changes to one standard AIIR module OR the merging of multiple AIIR modules into a new fit-for-purpose session. For clients who are satisfied with an AIIR module to represent one of their leadership principles/values, but would like to alter the exercises/experience to fit their needs OR clients who want to draw from multiple AIIR modules to create a fit-for-purpose experience.</t>
        </is>
      </c>
      <c r="D30" s="332" t="n"/>
      <c r="E30" s="332" t="n"/>
      <c r="F30" s="332" t="n"/>
      <c r="G30" s="332" t="n"/>
      <c r="H30" s="332" t="n"/>
      <c r="I30" s="332" t="n"/>
      <c r="J30" s="332" t="n"/>
      <c r="K30" s="332" t="n"/>
      <c r="L30" s="332" t="n"/>
      <c r="M30" s="332" t="n"/>
      <c r="N30" s="332" t="n"/>
      <c r="O30" s="332" t="n"/>
      <c r="P30" s="332" t="n"/>
      <c r="Q30" s="332" t="n"/>
      <c r="R30" s="332" t="n"/>
      <c r="S30" s="332" t="n"/>
    </row>
    <row r="31" ht="15.75" customHeight="1" s="345">
      <c r="A31" s="347" t="n"/>
      <c r="B31" s="333" t="inlineStr">
        <is>
          <t>Principles/Values Workshop (Bespoke)</t>
        </is>
      </c>
      <c r="C31" s="337" t="inlineStr">
        <is>
          <t>Client can request brand new content or change content any way they wish. For clients who are interested in combining AIIR content, with non-AIIR content, or want a “from scratch” experience around one of their leadership principles/values.</t>
        </is>
      </c>
      <c r="D31" s="332" t="n"/>
      <c r="E31" s="332" t="n"/>
      <c r="F31" s="332" t="n"/>
      <c r="G31" s="332" t="n"/>
      <c r="H31" s="332" t="n"/>
      <c r="I31" s="332" t="n"/>
      <c r="J31" s="332" t="n"/>
      <c r="K31" s="332" t="n"/>
      <c r="L31" s="332" t="n"/>
      <c r="M31" s="332" t="n"/>
      <c r="N31" s="332" t="n"/>
      <c r="O31" s="332" t="n"/>
      <c r="P31" s="332" t="n"/>
      <c r="Q31" s="332" t="n"/>
      <c r="R31" s="332" t="n"/>
      <c r="S31" s="332" t="n"/>
    </row>
    <row r="32" ht="15.75" customHeight="1" s="345">
      <c r="A32" s="347" t="n"/>
      <c r="B32" s="333" t="inlineStr">
        <is>
          <t>Group Coaching</t>
        </is>
      </c>
      <c r="C32" s="337" t="inlineStr">
        <is>
          <t xml:space="preserve">Sustainment session, led by an expert AIIR coach, designed to reinforce behavior by reviewing previous content and/or creating deeper, unstructured discussion around it. Available F2F or Virtual.
</t>
        </is>
      </c>
      <c r="D32" s="332" t="n"/>
      <c r="E32" s="332" t="n"/>
      <c r="F32" s="332" t="n"/>
      <c r="G32" s="332" t="n"/>
      <c r="H32" s="332" t="n"/>
      <c r="I32" s="332" t="n"/>
      <c r="J32" s="332" t="n"/>
      <c r="K32" s="332" t="n"/>
      <c r="L32" s="332" t="n"/>
      <c r="M32" s="332" t="n"/>
      <c r="N32" s="332" t="n"/>
      <c r="O32" s="332" t="n"/>
      <c r="P32" s="332" t="n"/>
      <c r="Q32" s="332" t="n"/>
      <c r="R32" s="332" t="n"/>
      <c r="S32" s="332" t="n"/>
    </row>
    <row r="33" ht="15.75" customHeight="1" s="345">
      <c r="A33" s="347" t="n"/>
      <c r="B33" s="333" t="inlineStr">
        <is>
          <t>Assessment Group Debrief</t>
        </is>
      </c>
      <c r="C33" s="337" t="inlineStr">
        <is>
          <t>2 hour interactive session designed to help participants understand the structure and science behind the assessment they completed, the benefits of taking it, how to interpret their results, and first reactions on what this means for them. Available F2F or Virtual.</t>
        </is>
      </c>
      <c r="D33" s="332" t="n"/>
      <c r="E33" s="332" t="n"/>
      <c r="F33" s="332" t="n"/>
      <c r="G33" s="332" t="n"/>
      <c r="H33" s="332" t="n"/>
      <c r="I33" s="332" t="n"/>
      <c r="J33" s="332" t="n"/>
      <c r="K33" s="332" t="n"/>
      <c r="L33" s="332" t="n"/>
      <c r="M33" s="332" t="n"/>
      <c r="N33" s="332" t="n"/>
      <c r="O33" s="332" t="n"/>
      <c r="P33" s="332" t="n"/>
      <c r="Q33" s="332" t="n"/>
      <c r="R33" s="332" t="n"/>
      <c r="S33" s="332" t="n"/>
    </row>
    <row r="34" ht="15.75" customHeight="1" s="345">
      <c r="A34" s="347" t="n"/>
      <c r="B34" s="333" t="inlineStr">
        <is>
          <t>SkillStream (1 path)</t>
        </is>
      </c>
      <c r="C34" s="337" t="inlineStr">
        <is>
          <t>Highly interactive custom sustainment eLearning designed for participants to take a “watch” then “practice” approach individually, OR in small groups.</t>
        </is>
      </c>
      <c r="D34" s="332" t="n"/>
      <c r="E34" s="332" t="n"/>
      <c r="F34" s="332" t="n"/>
      <c r="G34" s="332" t="n"/>
      <c r="H34" s="332" t="n"/>
      <c r="I34" s="332" t="n"/>
      <c r="J34" s="332" t="n"/>
      <c r="K34" s="332" t="n"/>
      <c r="L34" s="332" t="n"/>
      <c r="M34" s="332" t="n"/>
      <c r="N34" s="332" t="n"/>
      <c r="O34" s="332" t="n"/>
      <c r="P34" s="332" t="n"/>
      <c r="Q34" s="332" t="n"/>
      <c r="R34" s="332" t="n"/>
      <c r="S34" s="332" t="n"/>
    </row>
    <row r="35" ht="15.75" customHeight="1" s="345">
      <c r="A35" s="347" t="n"/>
      <c r="B35" s="333" t="inlineStr">
        <is>
          <t>SkillStream (2 path)</t>
        </is>
      </c>
      <c r="C35" s="337" t="inlineStr">
        <is>
          <t>Highly interactive custom sustainment eLearning designed for participants to take a “watch” then “practice” approach individually, AND in small groups.</t>
        </is>
      </c>
      <c r="D35" s="332" t="n"/>
      <c r="E35" s="332" t="n"/>
      <c r="F35" s="332" t="n"/>
      <c r="G35" s="332" t="n"/>
      <c r="H35" s="332" t="n"/>
      <c r="I35" s="332" t="n"/>
      <c r="J35" s="332" t="n"/>
      <c r="K35" s="332" t="n"/>
      <c r="L35" s="332" t="n"/>
      <c r="M35" s="332" t="n"/>
      <c r="N35" s="332" t="n"/>
      <c r="O35" s="332" t="n"/>
      <c r="P35" s="332" t="n"/>
      <c r="Q35" s="332" t="n"/>
      <c r="R35" s="332" t="n"/>
      <c r="S35" s="332" t="n"/>
    </row>
    <row r="36" ht="15.75" customHeight="1" s="345">
      <c r="A36" s="348" t="n"/>
      <c r="B36" s="333" t="inlineStr">
        <is>
          <t>Learning Lab</t>
        </is>
      </c>
      <c r="C36" s="337" t="inlineStr">
        <is>
          <t xml:space="preserve">Custom sustainment eLearning designed to present participants common scenarios for which to practice their skills. Participants complete 3-5 case studies/scenarios of varying levels of difficulty, and receive tips and tactics as they work their way through scenarios.
</t>
        </is>
      </c>
      <c r="D36" s="332" t="n"/>
      <c r="E36" s="332" t="n"/>
      <c r="F36" s="332" t="n"/>
      <c r="G36" s="332" t="n"/>
      <c r="H36" s="332" t="n"/>
      <c r="I36" s="332" t="n"/>
      <c r="J36" s="332" t="n"/>
      <c r="K36" s="332" t="n"/>
      <c r="L36" s="332" t="n"/>
      <c r="M36" s="332" t="n"/>
      <c r="N36" s="332" t="n"/>
      <c r="O36" s="332" t="n"/>
      <c r="P36" s="332" t="n"/>
      <c r="Q36" s="332" t="n"/>
      <c r="R36" s="332" t="n"/>
      <c r="S36" s="332" t="n"/>
    </row>
    <row r="37" ht="15.75" customHeight="1" s="345">
      <c r="A37" s="332" t="n"/>
      <c r="B37" s="338" t="n"/>
      <c r="C37" s="332" t="n"/>
      <c r="D37" s="332" t="n"/>
      <c r="E37" s="332" t="n"/>
      <c r="F37" s="332" t="n"/>
      <c r="G37" s="332" t="n"/>
      <c r="H37" s="332" t="n"/>
      <c r="I37" s="332" t="n"/>
      <c r="J37" s="332" t="n"/>
      <c r="K37" s="332" t="n"/>
      <c r="L37" s="332" t="n"/>
      <c r="M37" s="332" t="n"/>
      <c r="N37" s="332" t="n"/>
      <c r="O37" s="332" t="n"/>
      <c r="P37" s="332" t="n"/>
      <c r="Q37" s="332" t="n"/>
      <c r="R37" s="332" t="n"/>
      <c r="S37" s="332" t="n"/>
    </row>
    <row r="38" ht="15.75" customHeight="1" s="345">
      <c r="A38" s="35" t="n"/>
      <c r="B38" s="330" t="inlineStr">
        <is>
          <t>DELIVERABLE</t>
        </is>
      </c>
      <c r="C38" s="331" t="inlineStr">
        <is>
          <t>DESCRIPTION</t>
        </is>
      </c>
      <c r="D38" s="332" t="n"/>
      <c r="E38" s="332" t="n"/>
      <c r="F38" s="332" t="n"/>
      <c r="G38" s="332" t="n"/>
      <c r="H38" s="332" t="n"/>
      <c r="I38" s="332" t="n"/>
      <c r="J38" s="332" t="n"/>
      <c r="K38" s="332" t="n"/>
      <c r="L38" s="332" t="n"/>
      <c r="M38" s="332" t="n"/>
      <c r="N38" s="332" t="n"/>
      <c r="O38" s="332" t="n"/>
      <c r="P38" s="332" t="n"/>
      <c r="Q38" s="332" t="n"/>
      <c r="R38" s="332" t="n"/>
      <c r="S38" s="332" t="n"/>
    </row>
    <row r="39" ht="15.75" customHeight="1" s="345">
      <c r="A39" s="351" t="inlineStr">
        <is>
          <t>Assessment</t>
        </is>
      </c>
      <c r="B39" s="333" t="inlineStr">
        <is>
          <t>CMI Assessment</t>
        </is>
      </c>
      <c r="C39" s="334" t="inlineStr">
        <is>
          <t>Individual CMI assessment with detailed description of CMI model, individualized scores and development suggestions, and action planning tool included.</t>
        </is>
      </c>
      <c r="D39" s="332" t="n"/>
      <c r="E39" s="332" t="n"/>
      <c r="F39" s="332" t="n"/>
      <c r="G39" s="332" t="n"/>
      <c r="H39" s="332" t="n"/>
      <c r="I39" s="332" t="n"/>
      <c r="J39" s="332" t="n"/>
      <c r="K39" s="332" t="n"/>
      <c r="L39" s="332" t="n"/>
      <c r="M39" s="332" t="n"/>
      <c r="N39" s="332" t="n"/>
      <c r="O39" s="332" t="n"/>
      <c r="P39" s="332" t="n"/>
      <c r="Q39" s="332" t="n"/>
      <c r="R39" s="332" t="n"/>
      <c r="S39" s="332" t="n"/>
    </row>
    <row r="40" ht="15.75" customHeight="1" s="345">
      <c r="A40" s="347" t="n"/>
      <c r="B40" s="333" t="inlineStr">
        <is>
          <t>CMI 360</t>
        </is>
      </c>
      <c r="C40" s="336" t="inlineStr">
        <is>
          <t>360 CMI assessment with comparison of self vs. rater scores, detailed scaled data including item by item breakdown and rater agreement metric, open-ended feedback, and a variety of data displays for easy analysis.</t>
        </is>
      </c>
      <c r="D40" s="332" t="n"/>
      <c r="E40" s="332" t="n"/>
      <c r="F40" s="332" t="n"/>
      <c r="G40" s="332" t="n"/>
      <c r="H40" s="332" t="n"/>
      <c r="I40" s="332" t="n"/>
      <c r="J40" s="332" t="n"/>
      <c r="K40" s="332" t="n"/>
      <c r="L40" s="332" t="n"/>
      <c r="M40" s="332" t="n"/>
      <c r="N40" s="332" t="n"/>
      <c r="O40" s="332" t="n"/>
      <c r="P40" s="332" t="n"/>
      <c r="Q40" s="332" t="n"/>
      <c r="R40" s="332" t="n"/>
      <c r="S40" s="332" t="n"/>
    </row>
    <row r="41" ht="15.75" customHeight="1" s="345">
      <c r="A41" s="347" t="n"/>
      <c r="B41" s="333" t="inlineStr">
        <is>
          <t>CMI Group Report</t>
        </is>
      </c>
      <c r="C41" s="337" t="inlineStr">
        <is>
          <t>CMI assessment that compares scores for an entire cohort of respondents, including group comparison of coaching style and average coaching strategy scores.</t>
        </is>
      </c>
      <c r="D41" s="332" t="n"/>
      <c r="E41" s="332" t="n"/>
      <c r="F41" s="332" t="n"/>
      <c r="G41" s="332" t="n"/>
      <c r="H41" s="332" t="n"/>
      <c r="I41" s="332" t="n"/>
      <c r="J41" s="332" t="n"/>
      <c r="K41" s="332" t="n"/>
      <c r="L41" s="332" t="n"/>
      <c r="M41" s="332" t="n"/>
      <c r="N41" s="332" t="n"/>
      <c r="O41" s="332" t="n"/>
      <c r="P41" s="332" t="n"/>
      <c r="Q41" s="332" t="n"/>
      <c r="R41" s="332" t="n"/>
      <c r="S41" s="332" t="n"/>
    </row>
    <row r="42" ht="15.75" customHeight="1" s="345">
      <c r="A42" s="347" t="n"/>
      <c r="B42" s="333" t="inlineStr">
        <is>
          <t>LD12™ Assessment (Self Report)</t>
        </is>
      </c>
      <c r="C42" s="336" t="inlineStr">
        <is>
          <t>The LD12™ provides a comprehensive map of leadership skills, pinpointing leaders' signature strengths and development opportunities.</t>
        </is>
      </c>
      <c r="D42" s="332" t="n"/>
      <c r="E42" s="332" t="n"/>
      <c r="F42" s="332" t="n"/>
      <c r="G42" s="332" t="n"/>
      <c r="H42" s="332" t="n"/>
      <c r="I42" s="332" t="n"/>
      <c r="J42" s="332" t="n"/>
      <c r="K42" s="332" t="n"/>
      <c r="L42" s="332" t="n"/>
      <c r="M42" s="332" t="n"/>
      <c r="N42" s="332" t="n"/>
      <c r="O42" s="332" t="n"/>
      <c r="P42" s="332" t="n"/>
      <c r="Q42" s="332" t="n"/>
      <c r="R42" s="332" t="n"/>
      <c r="S42" s="332" t="n"/>
    </row>
    <row r="43" ht="15.75" customHeight="1" s="345">
      <c r="A43" s="347" t="n"/>
      <c r="B43" s="333" t="inlineStr">
        <is>
          <t>LD12™ 360 Assessment</t>
        </is>
      </c>
      <c r="C43" s="337" t="inlineStr">
        <is>
          <t>The LD12™ 360 combines self-assessment on leadership skills with comprehensive insights from direct reports, peers, and managers to get an individual’s complete leadership picture.</t>
        </is>
      </c>
      <c r="D43" s="332" t="n"/>
      <c r="E43" s="332" t="n"/>
      <c r="F43" s="332" t="n"/>
      <c r="G43" s="332" t="n"/>
      <c r="H43" s="332" t="n"/>
      <c r="I43" s="332" t="n"/>
      <c r="J43" s="332" t="n"/>
      <c r="K43" s="332" t="n"/>
      <c r="L43" s="332" t="n"/>
      <c r="M43" s="332" t="n"/>
      <c r="N43" s="332" t="n"/>
      <c r="O43" s="332" t="n"/>
      <c r="P43" s="332" t="n"/>
      <c r="Q43" s="332" t="n"/>
      <c r="R43" s="332" t="n"/>
      <c r="S43" s="332" t="n"/>
    </row>
    <row r="44" ht="15.75" customHeight="1" s="345">
      <c r="A44" s="347" t="n"/>
      <c r="B44" s="333" t="inlineStr">
        <is>
          <t>Core Values Navigator</t>
        </is>
      </c>
      <c r="C44" s="337" t="inlineStr">
        <is>
          <t>Identifies the values that shape a leader’s choices, helping align actions with role demands and organizational goals.</t>
        </is>
      </c>
      <c r="D44" s="332" t="n"/>
      <c r="E44" s="332" t="n"/>
      <c r="F44" s="332" t="n"/>
      <c r="G44" s="332" t="n"/>
      <c r="H44" s="332" t="n"/>
      <c r="I44" s="332" t="n"/>
      <c r="J44" s="332" t="n"/>
      <c r="K44" s="332" t="n"/>
      <c r="L44" s="332" t="n"/>
      <c r="M44" s="332" t="n"/>
      <c r="N44" s="332" t="n"/>
      <c r="O44" s="332" t="n"/>
      <c r="P44" s="332" t="n"/>
      <c r="Q44" s="332" t="n"/>
      <c r="R44" s="332" t="n"/>
      <c r="S44" s="332" t="n"/>
    </row>
    <row r="45" ht="15.75" customHeight="1" s="345">
      <c r="A45" s="347" t="n"/>
      <c r="B45" s="333" t="inlineStr">
        <is>
          <t>Hogan Insights Series</t>
        </is>
      </c>
      <c r="C45" s="340" t="inlineStr">
        <is>
          <t>Evaluates personality, potential derailers, and core drivers to reveal how leaders work, lead, and respond under stress.</t>
        </is>
      </c>
      <c r="D45" s="332" t="n"/>
      <c r="E45" s="332" t="n"/>
      <c r="F45" s="332" t="n"/>
      <c r="G45" s="332" t="n"/>
      <c r="H45" s="332" t="n"/>
      <c r="I45" s="332" t="n"/>
      <c r="J45" s="332" t="n"/>
      <c r="K45" s="332" t="n"/>
      <c r="L45" s="332" t="n"/>
      <c r="M45" s="332" t="n"/>
      <c r="N45" s="332" t="n"/>
      <c r="O45" s="332" t="n"/>
      <c r="P45" s="332" t="n"/>
      <c r="Q45" s="332" t="n"/>
      <c r="R45" s="332" t="n"/>
      <c r="S45" s="332" t="n"/>
    </row>
    <row r="46" ht="15.75" customHeight="1" s="345">
      <c r="A46" s="347" t="n"/>
      <c r="B46" s="333" t="inlineStr">
        <is>
          <t>Leadership Genome</t>
        </is>
      </c>
      <c r="C46" s="337" t="inlineStr">
        <is>
          <t xml:space="preserve">Quantitative and qualitative process for establishing an ecologically valid leadership model for your organization.
</t>
        </is>
      </c>
      <c r="D46" s="332" t="n"/>
      <c r="E46" s="332" t="n"/>
      <c r="F46" s="332" t="n"/>
      <c r="G46" s="332" t="n"/>
      <c r="H46" s="332" t="n"/>
      <c r="I46" s="332" t="n"/>
      <c r="J46" s="332" t="n"/>
      <c r="K46" s="332" t="n"/>
      <c r="L46" s="332" t="n"/>
      <c r="M46" s="332" t="n"/>
      <c r="N46" s="332" t="n"/>
      <c r="O46" s="332" t="n"/>
      <c r="P46" s="332" t="n"/>
      <c r="Q46" s="332" t="n"/>
      <c r="R46" s="332" t="n"/>
      <c r="S46" s="332" t="n"/>
    </row>
    <row r="47" ht="15.75" customHeight="1" s="345">
      <c r="A47" s="347" t="n"/>
      <c r="B47" s="333" t="inlineStr">
        <is>
          <t>Leadership Blueprint Package</t>
        </is>
      </c>
      <c r="C47" s="337" t="inlineStr">
        <is>
          <t xml:space="preserve">An executive assessment package designed to define what great leadership looks like at your organization. Provides a clear, values-aligned leadership framework that defines expectations, anchors to your culture, and supports talent strategy.
</t>
        </is>
      </c>
      <c r="D47" s="332" t="n"/>
      <c r="E47" s="332" t="n"/>
      <c r="F47" s="332" t="n"/>
      <c r="G47" s="332" t="n"/>
      <c r="H47" s="332" t="n"/>
      <c r="I47" s="332" t="n"/>
      <c r="J47" s="332" t="n"/>
      <c r="K47" s="332" t="n"/>
      <c r="L47" s="332" t="n"/>
      <c r="M47" s="332" t="n"/>
      <c r="N47" s="332" t="n"/>
      <c r="O47" s="332" t="n"/>
      <c r="P47" s="332" t="n"/>
      <c r="Q47" s="332" t="n"/>
      <c r="R47" s="332" t="n"/>
      <c r="S47" s="332" t="n"/>
    </row>
    <row r="48" ht="15.75" customHeight="1" s="345">
      <c r="A48" s="347" t="n"/>
      <c r="B48" s="333" t="inlineStr">
        <is>
          <t>Leadership Insights Package</t>
        </is>
      </c>
      <c r="C48" s="337" t="inlineStr">
        <is>
          <t xml:space="preserve">An executive assessment package designed to understand the strengths and gaps that exist for your leaders. Provides a deep understanding of leaders’ strengths and opportunities through individual and group assessment data.
</t>
        </is>
      </c>
      <c r="D48" s="332" t="n"/>
      <c r="E48" s="332" t="n"/>
      <c r="F48" s="332" t="n"/>
      <c r="G48" s="332" t="n"/>
      <c r="H48" s="332" t="n"/>
      <c r="I48" s="332" t="n"/>
      <c r="J48" s="332" t="n"/>
      <c r="K48" s="332" t="n"/>
      <c r="L48" s="332" t="n"/>
      <c r="M48" s="332" t="n"/>
      <c r="N48" s="332" t="n"/>
      <c r="O48" s="332" t="n"/>
      <c r="P48" s="332" t="n"/>
      <c r="Q48" s="332" t="n"/>
      <c r="R48" s="332" t="n"/>
      <c r="S48" s="332" t="n"/>
    </row>
    <row r="49" ht="15.75" customHeight="1" s="345">
      <c r="A49" s="348" t="n"/>
      <c r="B49" s="333" t="inlineStr">
        <is>
          <t>Leadership Pipeline Package</t>
        </is>
      </c>
      <c r="C49" s="337" t="inlineStr">
        <is>
          <t xml:space="preserve">An executive assessment package designed to identify leadership potential and succession readiness. Focuses on identifying internal talent with the potential to step into key leadership roles, and supports strategic succession planning by assessing readiness and highlighting gaps. 
</t>
        </is>
      </c>
      <c r="D49" s="332" t="n"/>
      <c r="E49" s="332" t="n"/>
      <c r="F49" s="332" t="n"/>
      <c r="G49" s="332" t="n"/>
      <c r="H49" s="332" t="n"/>
      <c r="I49" s="332" t="n"/>
      <c r="J49" s="332" t="n"/>
      <c r="K49" s="332" t="n"/>
      <c r="L49" s="332" t="n"/>
      <c r="M49" s="332" t="n"/>
      <c r="N49" s="332" t="n"/>
      <c r="O49" s="332" t="n"/>
      <c r="P49" s="332" t="n"/>
      <c r="Q49" s="332" t="n"/>
      <c r="R49" s="332" t="n"/>
      <c r="S49" s="332" t="n"/>
    </row>
    <row r="50" ht="15.75" customHeight="1" s="345">
      <c r="A50" s="332" t="n"/>
      <c r="B50" s="338" t="n"/>
      <c r="C50" s="332" t="n"/>
      <c r="D50" s="332" t="n"/>
      <c r="E50" s="332" t="n"/>
      <c r="F50" s="332" t="n"/>
      <c r="G50" s="332" t="n"/>
      <c r="H50" s="332" t="n"/>
      <c r="I50" s="332" t="n"/>
      <c r="J50" s="332" t="n"/>
      <c r="K50" s="332" t="n"/>
      <c r="L50" s="332" t="n"/>
      <c r="M50" s="332" t="n"/>
      <c r="N50" s="332" t="n"/>
      <c r="O50" s="332" t="n"/>
      <c r="P50" s="332" t="n"/>
      <c r="Q50" s="332" t="n"/>
      <c r="R50" s="332" t="n"/>
      <c r="S50" s="332" t="n"/>
    </row>
    <row r="51" ht="15.75" customHeight="1" s="345">
      <c r="A51" s="35" t="n"/>
      <c r="B51" s="330" t="inlineStr">
        <is>
          <t>DELIVERABLE</t>
        </is>
      </c>
      <c r="C51" s="331" t="inlineStr">
        <is>
          <t>DESCRIPTION</t>
        </is>
      </c>
      <c r="D51" s="332" t="n"/>
      <c r="E51" s="332" t="n"/>
      <c r="F51" s="332" t="n"/>
      <c r="G51" s="332" t="n"/>
      <c r="H51" s="332" t="n"/>
      <c r="I51" s="332" t="n"/>
      <c r="J51" s="332" t="n"/>
      <c r="K51" s="332" t="n"/>
      <c r="L51" s="332" t="n"/>
      <c r="M51" s="332" t="n"/>
      <c r="N51" s="332" t="n"/>
      <c r="O51" s="332" t="n"/>
      <c r="P51" s="332" t="n"/>
      <c r="Q51" s="332" t="n"/>
      <c r="R51" s="332" t="n"/>
      <c r="S51" s="332" t="n"/>
    </row>
    <row r="52" ht="15.75" customHeight="1" s="345">
      <c r="A52" s="352" t="inlineStr">
        <is>
          <t>Team
Effectiveness</t>
        </is>
      </c>
      <c r="B52" s="333" t="inlineStr">
        <is>
          <t>TES Assessment</t>
        </is>
      </c>
      <c r="C52" s="334" t="inlineStr">
        <is>
          <t>The Team Effectiveness Survey assesses the current state of a team's culture and productivity.</t>
        </is>
      </c>
      <c r="D52" s="332" t="n"/>
      <c r="E52" s="332" t="n"/>
      <c r="F52" s="332" t="n"/>
      <c r="G52" s="332" t="n"/>
      <c r="H52" s="332" t="n"/>
      <c r="I52" s="332" t="n"/>
      <c r="J52" s="332" t="n"/>
      <c r="K52" s="332" t="n"/>
      <c r="L52" s="332" t="n"/>
      <c r="M52" s="332" t="n"/>
      <c r="N52" s="332" t="n"/>
      <c r="O52" s="332" t="n"/>
      <c r="P52" s="332" t="n"/>
      <c r="Q52" s="332" t="n"/>
      <c r="R52" s="332" t="n"/>
      <c r="S52" s="332" t="n"/>
    </row>
    <row r="53" ht="15.75" customHeight="1" s="345">
      <c r="A53" s="347" t="n"/>
      <c r="B53" s="333" t="inlineStr">
        <is>
          <t>TE Stakeholder Interview</t>
        </is>
      </c>
      <c r="C53" s="336" t="inlineStr">
        <is>
          <t>A confidential interview that is conducted with key stakeholders around the team to get their views on how the team is functioning.</t>
        </is>
      </c>
      <c r="D53" s="332" t="n"/>
      <c r="E53" s="332" t="n"/>
      <c r="F53" s="332" t="n"/>
      <c r="G53" s="332" t="n"/>
      <c r="H53" s="332" t="n"/>
      <c r="I53" s="332" t="n"/>
      <c r="J53" s="332" t="n"/>
      <c r="K53" s="332" t="n"/>
      <c r="L53" s="332" t="n"/>
      <c r="M53" s="332" t="n"/>
      <c r="N53" s="332" t="n"/>
      <c r="O53" s="332" t="n"/>
      <c r="P53" s="332" t="n"/>
      <c r="Q53" s="332" t="n"/>
      <c r="R53" s="332" t="n"/>
      <c r="S53" s="332" t="n"/>
    </row>
    <row r="54" ht="15.75" customHeight="1" s="345">
      <c r="A54" s="347" t="n"/>
      <c r="B54" s="333" t="inlineStr">
        <is>
          <t>TE Perspectives</t>
        </is>
      </c>
      <c r="C54" s="337" t="inlineStr">
        <is>
          <t xml:space="preserve">Solution designed to help the team have a greater awareness of its ability to perform and create value. Teams will Identify team strengths and development opportunities, gather insights into their team’s culture and productivity, and create a Team Charter to set up their team’s purpose and operating principles.
</t>
        </is>
      </c>
      <c r="D54" s="332" t="n"/>
      <c r="E54" s="332" t="n"/>
      <c r="F54" s="332" t="n"/>
      <c r="G54" s="332" t="n"/>
      <c r="H54" s="332" t="n"/>
      <c r="I54" s="332" t="n"/>
      <c r="J54" s="332" t="n"/>
      <c r="K54" s="332" t="n"/>
      <c r="L54" s="332" t="n"/>
      <c r="M54" s="332" t="n"/>
      <c r="N54" s="332" t="n"/>
      <c r="O54" s="332" t="n"/>
      <c r="P54" s="332" t="n"/>
      <c r="Q54" s="332" t="n"/>
      <c r="R54" s="332" t="n"/>
      <c r="S54" s="332" t="n"/>
    </row>
    <row r="55" ht="15.75" customHeight="1" s="345">
      <c r="A55" s="347" t="n"/>
      <c r="B55" s="333" t="inlineStr">
        <is>
          <t>TE Roadmap</t>
        </is>
      </c>
      <c r="C55" s="336" t="inlineStr">
        <is>
          <t xml:space="preserve">Solution designed to help the team foster new behaviors that drive results of clearly defined business priorities. Teams will move beyond assessment and chartering to tackle a set of goals or challenges, and engage in a variety of team sessions with an expert Team Coach to break old patterns and shape new behaviors.
</t>
        </is>
      </c>
      <c r="D55" s="332" t="n"/>
      <c r="E55" s="332" t="n"/>
      <c r="F55" s="332" t="n"/>
      <c r="G55" s="332" t="n"/>
      <c r="H55" s="332" t="n"/>
      <c r="I55" s="332" t="n"/>
      <c r="J55" s="332" t="n"/>
      <c r="K55" s="332" t="n"/>
      <c r="L55" s="332" t="n"/>
      <c r="M55" s="332" t="n"/>
      <c r="N55" s="332" t="n"/>
      <c r="O55" s="332" t="n"/>
      <c r="P55" s="332" t="n"/>
      <c r="Q55" s="332" t="n"/>
      <c r="R55" s="332" t="n"/>
      <c r="S55" s="332" t="n"/>
    </row>
    <row r="56" ht="15.75" customHeight="1" s="345">
      <c r="A56" s="347" t="n"/>
      <c r="B56" s="333" t="inlineStr">
        <is>
          <t>TE Ignite</t>
        </is>
      </c>
      <c r="C56" s="337" t="inlineStr">
        <is>
          <t xml:space="preserve">Solution designed to help the team take an actionable leadership role in navigating organizational change. Teams will take it to the "next level" with extended team coaching for sustained high performance, and engage in sessions and activities that elevate their team’s performance in navigating a key challenge, change, or transformation.
</t>
        </is>
      </c>
      <c r="D56" s="332" t="n"/>
      <c r="E56" s="332" t="n"/>
      <c r="F56" s="332" t="n"/>
      <c r="G56" s="332" t="n"/>
      <c r="H56" s="332" t="n"/>
      <c r="I56" s="332" t="n"/>
      <c r="J56" s="332" t="n"/>
      <c r="K56" s="332" t="n"/>
      <c r="L56" s="332" t="n"/>
      <c r="M56" s="332" t="n"/>
      <c r="N56" s="332" t="n"/>
      <c r="O56" s="332" t="n"/>
      <c r="P56" s="332" t="n"/>
      <c r="Q56" s="332" t="n"/>
      <c r="R56" s="332" t="n"/>
      <c r="S56" s="332" t="n"/>
    </row>
    <row r="57" ht="15.75" customHeight="1" s="345">
      <c r="A57" s="347" t="n"/>
      <c r="B57" s="333" t="inlineStr">
        <is>
          <t>Team Coaching Session</t>
        </is>
      </c>
      <c r="C57" s="337" t="inlineStr">
        <is>
          <t xml:space="preserve">
A 90-minute session that builds on the team's work from the Insight Session or addresses pressing needs as they arise.</t>
        </is>
      </c>
      <c r="D57" s="332" t="n"/>
      <c r="E57" s="332" t="n"/>
      <c r="F57" s="332" t="n"/>
      <c r="G57" s="332" t="n"/>
      <c r="H57" s="332" t="n"/>
      <c r="I57" s="332" t="n"/>
      <c r="J57" s="332" t="n"/>
      <c r="K57" s="332" t="n"/>
      <c r="L57" s="332" t="n"/>
      <c r="M57" s="332" t="n"/>
      <c r="N57" s="332" t="n"/>
      <c r="O57" s="332" t="n"/>
      <c r="P57" s="332" t="n"/>
      <c r="Q57" s="332" t="n"/>
      <c r="R57" s="332" t="n"/>
      <c r="S57" s="332" t="n"/>
    </row>
    <row r="58" ht="15.75" customHeight="1" s="345">
      <c r="A58" s="347" t="n"/>
      <c r="B58" s="333" t="inlineStr">
        <is>
          <t>Team Leader Meeting</t>
        </is>
      </c>
      <c r="C58" s="340" t="inlineStr">
        <is>
          <t>A 60-minute session with the coach to prepare for, debrief on, or discuss adjustments to the team journey.</t>
        </is>
      </c>
      <c r="D58" s="332" t="n"/>
      <c r="E58" s="332" t="n"/>
      <c r="F58" s="332" t="n"/>
      <c r="G58" s="332" t="n"/>
      <c r="H58" s="332" t="n"/>
      <c r="I58" s="332" t="n"/>
      <c r="J58" s="332" t="n"/>
      <c r="K58" s="332" t="n"/>
      <c r="L58" s="332" t="n"/>
      <c r="M58" s="332" t="n"/>
      <c r="N58" s="332" t="n"/>
      <c r="O58" s="332" t="n"/>
      <c r="P58" s="332" t="n"/>
      <c r="Q58" s="332" t="n"/>
      <c r="R58" s="332" t="n"/>
      <c r="S58" s="332" t="n"/>
    </row>
    <row r="59" ht="15.75" customHeight="1" s="345">
      <c r="A59" s="347" t="n"/>
      <c r="B59" s="333" t="inlineStr">
        <is>
          <t>Individual Assessment Debrief</t>
        </is>
      </c>
      <c r="C59" s="337" t="inlineStr">
        <is>
          <t xml:space="preserve">
A 60-minute session where team members are taken through a debrief of their individual psychometric assessment.</t>
        </is>
      </c>
      <c r="D59" s="332" t="n"/>
      <c r="E59" s="332" t="n"/>
      <c r="F59" s="332" t="n"/>
      <c r="G59" s="332" t="n"/>
      <c r="H59" s="332" t="n"/>
      <c r="I59" s="332" t="n"/>
      <c r="J59" s="332" t="n"/>
      <c r="K59" s="332" t="n"/>
      <c r="L59" s="332" t="n"/>
      <c r="M59" s="332" t="n"/>
      <c r="N59" s="332" t="n"/>
      <c r="O59" s="332" t="n"/>
      <c r="P59" s="332" t="n"/>
      <c r="Q59" s="332" t="n"/>
      <c r="R59" s="332" t="n"/>
      <c r="S59" s="332" t="n"/>
    </row>
    <row r="60" ht="15.75" customHeight="1" s="345">
      <c r="A60" s="348" t="n"/>
      <c r="B60" s="333" t="inlineStr">
        <is>
          <t>TE Coaching Zone Access</t>
        </is>
      </c>
      <c r="C60" s="337" t="inlineStr">
        <is>
          <t xml:space="preserve">
This per-person fee provides access to AIIR's proprietary Coaching Zone technology and a variety of tools that can be used to enhance the team experience.</t>
        </is>
      </c>
      <c r="D60" s="332" t="n"/>
      <c r="E60" s="332" t="n"/>
      <c r="F60" s="332" t="n"/>
      <c r="G60" s="332" t="n"/>
      <c r="H60" s="332" t="n"/>
      <c r="I60" s="332" t="n"/>
      <c r="J60" s="332" t="n"/>
      <c r="K60" s="332" t="n"/>
      <c r="L60" s="332" t="n"/>
      <c r="M60" s="332" t="n"/>
      <c r="N60" s="332" t="n"/>
      <c r="O60" s="332" t="n"/>
      <c r="P60" s="332" t="n"/>
      <c r="Q60" s="332" t="n"/>
      <c r="R60" s="332" t="n"/>
      <c r="S60" s="332" t="n"/>
    </row>
    <row r="61" ht="15.75" customHeight="1" s="345">
      <c r="A61" s="332" t="n"/>
      <c r="B61" s="338" t="n"/>
      <c r="C61" s="332" t="n"/>
      <c r="D61" s="332" t="n"/>
      <c r="E61" s="332" t="n"/>
      <c r="F61" s="332" t="n"/>
      <c r="G61" s="332" t="n"/>
      <c r="H61" s="332" t="n"/>
      <c r="I61" s="332" t="n"/>
      <c r="J61" s="332" t="n"/>
      <c r="K61" s="332" t="n"/>
      <c r="L61" s="332" t="n"/>
      <c r="M61" s="332" t="n"/>
      <c r="N61" s="332" t="n"/>
      <c r="O61" s="332" t="n"/>
      <c r="P61" s="332" t="n"/>
      <c r="Q61" s="332" t="n"/>
      <c r="R61" s="332" t="n"/>
      <c r="S61" s="332" t="n"/>
    </row>
    <row r="62" ht="15.75" customHeight="1" s="345">
      <c r="A62" s="35" t="n"/>
      <c r="B62" s="330" t="inlineStr">
        <is>
          <t>DELIVERABLE</t>
        </is>
      </c>
      <c r="C62" s="331" t="inlineStr">
        <is>
          <t>DESCRIPTION</t>
        </is>
      </c>
      <c r="D62" s="332" t="n"/>
      <c r="E62" s="332" t="n"/>
      <c r="F62" s="332" t="n"/>
      <c r="G62" s="332" t="n"/>
      <c r="H62" s="332" t="n"/>
      <c r="I62" s="332" t="n"/>
      <c r="J62" s="332" t="n"/>
      <c r="K62" s="332" t="n"/>
      <c r="L62" s="332" t="n"/>
      <c r="M62" s="332" t="n"/>
      <c r="N62" s="332" t="n"/>
      <c r="O62" s="332" t="n"/>
      <c r="P62" s="332" t="n"/>
      <c r="Q62" s="332" t="n"/>
      <c r="R62" s="332" t="n"/>
      <c r="S62" s="332" t="n"/>
    </row>
    <row r="63" ht="15.75" customHeight="1" s="345">
      <c r="A63" s="353" t="inlineStr">
        <is>
          <t>Executive
Coaching</t>
        </is>
      </c>
      <c r="B63" s="333" t="inlineStr">
        <is>
          <t>Spark 1</t>
        </is>
      </c>
      <c r="C63" s="334" t="inlineStr">
        <is>
          <t xml:space="preserve">Coaching by certified coaches typically with 3-5 years of experience. 3-4 month coaching engagement designed to increase self-awareness and jumpstart a development plan. Includes:
* 7 hours of coaching
* Kick-Off Session
* Leadership Assessments
* AIIR Dynamics 360º Survey
* Developmental History Survey
* Assessment Feedback Session
* Development Planning Session
* 3 Implementation Sessions
* 2 Stakeholder Meetings
* Continuing Action Plan
* Access to AIIRON (AIIR's Ai digital coach)
* Access to Coaching Zone
</t>
        </is>
      </c>
      <c r="D63" s="332" t="n"/>
      <c r="E63" s="332" t="n"/>
      <c r="F63" s="332" t="n"/>
      <c r="G63" s="332" t="n"/>
      <c r="H63" s="332" t="n"/>
      <c r="I63" s="332" t="n"/>
      <c r="J63" s="332" t="n"/>
      <c r="K63" s="332" t="n"/>
      <c r="L63" s="332" t="n"/>
      <c r="M63" s="332" t="n"/>
      <c r="N63" s="332" t="n"/>
      <c r="O63" s="332" t="n"/>
      <c r="P63" s="332" t="n"/>
      <c r="Q63" s="332" t="n"/>
      <c r="R63" s="332" t="n"/>
      <c r="S63" s="332" t="n"/>
    </row>
    <row r="64" ht="15.75" customHeight="1" s="345">
      <c r="A64" s="347" t="n"/>
      <c r="B64" s="333" t="inlineStr">
        <is>
          <t>Spark 2</t>
        </is>
      </c>
      <c r="C64" s="336" t="inlineStr">
        <is>
          <t>Coaching by certified coaches typically with 3-5 years of experience. 4-5 month coaching engagement designed to increase self-awareness and jumpstart a development plan. Includes:
* 10.5 hours of coaching
* Kick-Off Session
* Leadership Assessments
* AIIR Dynamics 360º Survey
* Developmental History Survey
* Assessment Feedback Session
* Development Planning Session
* 5 Implementation Sessions
* 3 Stakeholder Meetings
* Continuing Action Plan
* Access to AIIRON (AIIR's Ai digital coach)
* Access to Coaching Zone</t>
        </is>
      </c>
      <c r="D64" s="332" t="n"/>
      <c r="E64" s="332" t="n"/>
      <c r="F64" s="332" t="n"/>
      <c r="G64" s="332" t="n"/>
      <c r="H64" s="332" t="n"/>
      <c r="I64" s="332" t="n"/>
      <c r="J64" s="332" t="n"/>
      <c r="K64" s="332" t="n"/>
      <c r="L64" s="332" t="n"/>
      <c r="M64" s="332" t="n"/>
      <c r="N64" s="332" t="n"/>
      <c r="O64" s="332" t="n"/>
      <c r="P64" s="332" t="n"/>
      <c r="Q64" s="332" t="n"/>
      <c r="R64" s="332" t="n"/>
      <c r="S64" s="332" t="n"/>
    </row>
    <row r="65" ht="15.75" customHeight="1" s="345">
      <c r="A65" s="347" t="n"/>
      <c r="B65" s="333" t="inlineStr">
        <is>
          <t>Roadmap</t>
        </is>
      </c>
      <c r="C65" s="337" t="inlineStr">
        <is>
          <t>Coaching by senior executive coaches. 4-6 month coaching engagement designed to accelerate effectiveness and achieve sustained behavior change. Includes:
* 13 hours of coaching
* Kick-Off Session
* Leadership Assessments
* AIIR Dynamics 360º Survey
* Developmental History Survey
* Assessment Feedback Session
* Development Planning Session
* 5 Implementation Sessions
* 3 Stakeholder Meetings
* Continuing Action Plan
* Access to AIIRON (AIIR's Ai digital coach)
* Access to Coaching Zone</t>
        </is>
      </c>
      <c r="D65" s="332" t="n"/>
      <c r="E65" s="332" t="n"/>
      <c r="F65" s="332" t="n"/>
      <c r="G65" s="332" t="n"/>
      <c r="H65" s="332" t="n"/>
      <c r="I65" s="332" t="n"/>
      <c r="J65" s="332" t="n"/>
      <c r="K65" s="332" t="n"/>
      <c r="L65" s="332" t="n"/>
      <c r="M65" s="332" t="n"/>
      <c r="N65" s="332" t="n"/>
      <c r="O65" s="332" t="n"/>
      <c r="P65" s="332" t="n"/>
      <c r="Q65" s="332" t="n"/>
      <c r="R65" s="332" t="n"/>
      <c r="S65" s="332" t="n"/>
    </row>
    <row r="66" ht="15.75" customHeight="1" s="345">
      <c r="A66" s="347" t="n"/>
      <c r="B66" s="333" t="inlineStr">
        <is>
          <t>Ignite</t>
        </is>
      </c>
      <c r="C66" s="336" t="inlineStr">
        <is>
          <t>Coaching by senior executive coaches. 6-9 month coaching engagement designed to accelerate effectiveness and achieve sustained behavior change. Includes:
* 23 hours of coaching
* Kick-Off Session
* Leadership Assessments
* Interview-based 360º 
* Developmental History Survey
* Assessment Feedback Session
* Development Planning Session
* 8 Implementation Sessions
* 4 Stakeholder Meetings
* Continuing Action Plan
* Access to AIIRON (AIIR's Ai digital coach)
* Access to Coaching Zone</t>
        </is>
      </c>
      <c r="D66" s="332" t="n"/>
      <c r="E66" s="332" t="n"/>
      <c r="F66" s="332" t="n"/>
      <c r="G66" s="332" t="n"/>
      <c r="H66" s="332" t="n"/>
      <c r="I66" s="332" t="n"/>
      <c r="J66" s="332" t="n"/>
      <c r="K66" s="332" t="n"/>
      <c r="L66" s="332" t="n"/>
      <c r="M66" s="332" t="n"/>
      <c r="N66" s="332" t="n"/>
      <c r="O66" s="332" t="n"/>
      <c r="P66" s="332" t="n"/>
      <c r="Q66" s="332" t="n"/>
      <c r="R66" s="332" t="n"/>
      <c r="S66" s="332" t="n"/>
    </row>
    <row r="67" ht="15.75" customHeight="1" s="345">
      <c r="A67" s="347" t="n"/>
      <c r="B67" s="333" t="inlineStr">
        <is>
          <t>Ascent</t>
        </is>
      </c>
      <c r="C67" s="337" t="inlineStr">
        <is>
          <t>Coaching by senior executive coaches. 10-12 month coaching engagement designed to accelerate effectiveness and achieve sustained behavior change. Includes:
* 30.5 hours of coaching
* Kick-Off Session
* Leadership Assessments
* Interview-based 360º+
* Developmental History Survey
* Assessment Feedback Session
* Development Planning Session
* 12 Implementation Sessions
* 4 Stakeholder Meetings
* Continuing Action Plan
* Access to AIIRON (AIIR's Ai digital coach)
* Access to Coaching Zone</t>
        </is>
      </c>
      <c r="D67" s="332" t="n"/>
      <c r="E67" s="332" t="n"/>
      <c r="F67" s="332" t="n"/>
      <c r="G67" s="332" t="n"/>
      <c r="H67" s="332" t="n"/>
      <c r="I67" s="332" t="n"/>
      <c r="J67" s="332" t="n"/>
      <c r="K67" s="332" t="n"/>
      <c r="L67" s="332" t="n"/>
      <c r="M67" s="332" t="n"/>
      <c r="N67" s="332" t="n"/>
      <c r="O67" s="332" t="n"/>
      <c r="P67" s="332" t="n"/>
      <c r="Q67" s="332" t="n"/>
      <c r="R67" s="332" t="n"/>
      <c r="S67" s="332" t="n"/>
    </row>
    <row r="68" ht="15.75" customHeight="1" s="345">
      <c r="A68" s="348" t="n"/>
      <c r="B68" s="333" t="inlineStr">
        <is>
          <t>Vista</t>
        </is>
      </c>
      <c r="C68" s="337" t="inlineStr">
        <is>
          <t xml:space="preserve">Coaching by a presitigious group of elite executive coaches/consultants. 6 OR 12 month trusted leadership advisory to support an executive's ability to confront and deal with complexity, ambiguity, and intensity of their role. Includes:
* On demand, 24/7 coaching support
* Exclusive AIIR Vista Welcome Kit
* Stakeholder sessions, assessments, and 360º as needed
</t>
        </is>
      </c>
      <c r="D68" s="332" t="n"/>
      <c r="E68" s="332" t="n"/>
      <c r="F68" s="332" t="n"/>
      <c r="G68" s="332" t="n"/>
      <c r="H68" s="332" t="n"/>
      <c r="I68" s="332" t="n"/>
      <c r="J68" s="332" t="n"/>
      <c r="K68" s="332" t="n"/>
      <c r="L68" s="332" t="n"/>
      <c r="M68" s="332" t="n"/>
      <c r="N68" s="332" t="n"/>
      <c r="O68" s="332" t="n"/>
      <c r="P68" s="332" t="n"/>
      <c r="Q68" s="332" t="n"/>
      <c r="R68" s="332" t="n"/>
      <c r="S68" s="332" t="n"/>
    </row>
    <row r="69" ht="15.75" customHeight="1" s="345">
      <c r="A69" s="332" t="n"/>
      <c r="B69" s="338" t="n"/>
      <c r="C69" s="332" t="n"/>
      <c r="D69" s="332" t="n"/>
      <c r="E69" s="332" t="n"/>
      <c r="F69" s="332" t="n"/>
      <c r="G69" s="332" t="n"/>
      <c r="H69" s="332" t="n"/>
      <c r="I69" s="332" t="n"/>
      <c r="J69" s="332" t="n"/>
      <c r="K69" s="332" t="n"/>
      <c r="L69" s="332" t="n"/>
      <c r="M69" s="332" t="n"/>
      <c r="N69" s="332" t="n"/>
      <c r="O69" s="332" t="n"/>
      <c r="P69" s="332" t="n"/>
      <c r="Q69" s="332" t="n"/>
      <c r="R69" s="332" t="n"/>
      <c r="S69" s="332" t="n"/>
    </row>
    <row r="70" ht="15.75" customHeight="1" s="345">
      <c r="A70" s="332" t="n"/>
      <c r="B70" s="338" t="n"/>
      <c r="C70" s="332" t="n"/>
      <c r="D70" s="332" t="n"/>
      <c r="E70" s="332" t="n"/>
      <c r="F70" s="332" t="n"/>
      <c r="G70" s="332" t="n"/>
      <c r="H70" s="332" t="n"/>
      <c r="I70" s="332" t="n"/>
      <c r="J70" s="332" t="n"/>
      <c r="K70" s="332" t="n"/>
      <c r="L70" s="332" t="n"/>
      <c r="M70" s="332" t="n"/>
      <c r="N70" s="332" t="n"/>
      <c r="O70" s="332" t="n"/>
      <c r="P70" s="332" t="n"/>
      <c r="Q70" s="332" t="n"/>
      <c r="R70" s="332" t="n"/>
      <c r="S70" s="332" t="n"/>
    </row>
    <row r="71" ht="15.75" customHeight="1" s="345">
      <c r="A71" s="332" t="n"/>
      <c r="B71" s="338" t="n"/>
      <c r="C71" s="332" t="n"/>
      <c r="D71" s="332" t="n"/>
      <c r="E71" s="332" t="n"/>
      <c r="F71" s="332" t="n"/>
      <c r="G71" s="332" t="n"/>
      <c r="H71" s="332" t="n"/>
      <c r="I71" s="332" t="n"/>
      <c r="J71" s="332" t="n"/>
      <c r="K71" s="332" t="n"/>
      <c r="L71" s="332" t="n"/>
      <c r="M71" s="332" t="n"/>
      <c r="N71" s="332" t="n"/>
      <c r="O71" s="332" t="n"/>
      <c r="P71" s="332" t="n"/>
      <c r="Q71" s="332" t="n"/>
      <c r="R71" s="332" t="n"/>
      <c r="S71" s="332" t="n"/>
    </row>
    <row r="72" ht="15.75" customHeight="1" s="345">
      <c r="A72" s="332" t="n"/>
      <c r="B72" s="338" t="n"/>
      <c r="C72" s="332" t="n"/>
      <c r="D72" s="332" t="n"/>
      <c r="E72" s="332" t="n"/>
      <c r="F72" s="332" t="n"/>
      <c r="G72" s="332" t="n"/>
      <c r="H72" s="332" t="n"/>
      <c r="I72" s="332" t="n"/>
      <c r="J72" s="332" t="n"/>
      <c r="K72" s="332" t="n"/>
      <c r="L72" s="332" t="n"/>
      <c r="M72" s="332" t="n"/>
      <c r="N72" s="332" t="n"/>
      <c r="O72" s="332" t="n"/>
      <c r="P72" s="332" t="n"/>
      <c r="Q72" s="332" t="n"/>
      <c r="R72" s="332" t="n"/>
      <c r="S72" s="332" t="n"/>
    </row>
    <row r="73" ht="15.75" customHeight="1" s="345">
      <c r="A73" s="332" t="n"/>
      <c r="B73" s="338" t="n"/>
      <c r="C73" s="332" t="n"/>
      <c r="D73" s="332" t="n"/>
      <c r="E73" s="332" t="n"/>
      <c r="F73" s="332" t="n"/>
      <c r="G73" s="332" t="n"/>
      <c r="H73" s="332" t="n"/>
      <c r="I73" s="332" t="n"/>
      <c r="J73" s="332" t="n"/>
      <c r="K73" s="332" t="n"/>
      <c r="L73" s="332" t="n"/>
      <c r="M73" s="332" t="n"/>
      <c r="N73" s="332" t="n"/>
      <c r="O73" s="332" t="n"/>
      <c r="P73" s="332" t="n"/>
      <c r="Q73" s="332" t="n"/>
      <c r="R73" s="332" t="n"/>
      <c r="S73" s="332" t="n"/>
    </row>
    <row r="74" ht="15.75" customHeight="1" s="345">
      <c r="A74" s="332" t="n"/>
      <c r="B74" s="338" t="n"/>
      <c r="C74" s="332" t="n"/>
      <c r="D74" s="332" t="n"/>
      <c r="E74" s="332" t="n"/>
      <c r="F74" s="332" t="n"/>
      <c r="G74" s="332" t="n"/>
      <c r="H74" s="332" t="n"/>
      <c r="I74" s="332" t="n"/>
      <c r="J74" s="332" t="n"/>
      <c r="K74" s="332" t="n"/>
      <c r="L74" s="332" t="n"/>
      <c r="M74" s="332" t="n"/>
      <c r="N74" s="332" t="n"/>
      <c r="O74" s="332" t="n"/>
      <c r="P74" s="332" t="n"/>
      <c r="Q74" s="332" t="n"/>
      <c r="R74" s="332" t="n"/>
      <c r="S74" s="332" t="n"/>
    </row>
    <row r="75" ht="15.75" customHeight="1" s="345">
      <c r="A75" s="332" t="n"/>
      <c r="B75" s="338" t="n"/>
      <c r="C75" s="332" t="n"/>
      <c r="D75" s="332" t="n"/>
      <c r="E75" s="332" t="n"/>
      <c r="F75" s="332" t="n"/>
      <c r="G75" s="332" t="n"/>
      <c r="H75" s="332" t="n"/>
      <c r="I75" s="332" t="n"/>
      <c r="J75" s="332" t="n"/>
      <c r="K75" s="332" t="n"/>
      <c r="L75" s="332" t="n"/>
      <c r="M75" s="332" t="n"/>
      <c r="N75" s="332" t="n"/>
      <c r="O75" s="332" t="n"/>
      <c r="P75" s="332" t="n"/>
      <c r="Q75" s="332" t="n"/>
      <c r="R75" s="332" t="n"/>
      <c r="S75" s="332" t="n"/>
    </row>
    <row r="76" ht="15.75" customHeight="1" s="345">
      <c r="A76" s="332" t="n"/>
      <c r="B76" s="338" t="n"/>
      <c r="C76" s="332" t="n"/>
      <c r="D76" s="332" t="n"/>
      <c r="E76" s="332" t="n"/>
      <c r="F76" s="332" t="n"/>
      <c r="G76" s="332" t="n"/>
      <c r="H76" s="332" t="n"/>
      <c r="I76" s="332" t="n"/>
      <c r="J76" s="332" t="n"/>
      <c r="K76" s="332" t="n"/>
      <c r="L76" s="332" t="n"/>
      <c r="M76" s="332" t="n"/>
      <c r="N76" s="332" t="n"/>
      <c r="O76" s="332" t="n"/>
      <c r="P76" s="332" t="n"/>
      <c r="Q76" s="332" t="n"/>
      <c r="R76" s="332" t="n"/>
      <c r="S76" s="332" t="n"/>
    </row>
    <row r="77" ht="15.75" customHeight="1" s="345">
      <c r="A77" s="332" t="n"/>
      <c r="B77" s="338" t="n"/>
      <c r="C77" s="332" t="n"/>
      <c r="D77" s="332" t="n"/>
      <c r="E77" s="332" t="n"/>
      <c r="F77" s="332" t="n"/>
      <c r="G77" s="332" t="n"/>
      <c r="H77" s="332" t="n"/>
      <c r="I77" s="332" t="n"/>
      <c r="J77" s="332" t="n"/>
      <c r="K77" s="332" t="n"/>
      <c r="L77" s="332" t="n"/>
      <c r="M77" s="332" t="n"/>
      <c r="N77" s="332" t="n"/>
      <c r="O77" s="332" t="n"/>
      <c r="P77" s="332" t="n"/>
      <c r="Q77" s="332" t="n"/>
      <c r="R77" s="332" t="n"/>
      <c r="S77" s="332" t="n"/>
    </row>
    <row r="78" ht="15.75" customHeight="1" s="345">
      <c r="A78" s="332" t="n"/>
      <c r="B78" s="338" t="n"/>
      <c r="C78" s="332" t="n"/>
      <c r="D78" s="332" t="n"/>
      <c r="E78" s="332" t="n"/>
      <c r="F78" s="332" t="n"/>
      <c r="G78" s="332" t="n"/>
      <c r="H78" s="332" t="n"/>
      <c r="I78" s="332" t="n"/>
      <c r="J78" s="332" t="n"/>
      <c r="K78" s="332" t="n"/>
      <c r="L78" s="332" t="n"/>
      <c r="M78" s="332" t="n"/>
      <c r="N78" s="332" t="n"/>
      <c r="O78" s="332" t="n"/>
      <c r="P78" s="332" t="n"/>
      <c r="Q78" s="332" t="n"/>
      <c r="R78" s="332" t="n"/>
      <c r="S78" s="332" t="n"/>
    </row>
    <row r="79" ht="15.75" customHeight="1" s="345">
      <c r="A79" s="332" t="n"/>
      <c r="B79" s="338" t="n"/>
      <c r="C79" s="332" t="n"/>
      <c r="D79" s="332" t="n"/>
      <c r="E79" s="332" t="n"/>
      <c r="F79" s="332" t="n"/>
      <c r="G79" s="332" t="n"/>
      <c r="H79" s="332" t="n"/>
      <c r="I79" s="332" t="n"/>
      <c r="J79" s="332" t="n"/>
      <c r="K79" s="332" t="n"/>
      <c r="L79" s="332" t="n"/>
      <c r="M79" s="332" t="n"/>
      <c r="N79" s="332" t="n"/>
      <c r="O79" s="332" t="n"/>
      <c r="P79" s="332" t="n"/>
      <c r="Q79" s="332" t="n"/>
      <c r="R79" s="332" t="n"/>
      <c r="S79" s="332" t="n"/>
    </row>
    <row r="80" ht="15.75" customHeight="1" s="345">
      <c r="A80" s="332" t="n"/>
      <c r="B80" s="338" t="n"/>
      <c r="C80" s="332" t="n"/>
      <c r="D80" s="332" t="n"/>
      <c r="E80" s="332" t="n"/>
      <c r="F80" s="332" t="n"/>
      <c r="G80" s="332" t="n"/>
      <c r="H80" s="332" t="n"/>
      <c r="I80" s="332" t="n"/>
      <c r="J80" s="332" t="n"/>
      <c r="K80" s="332" t="n"/>
      <c r="L80" s="332" t="n"/>
      <c r="M80" s="332" t="n"/>
      <c r="N80" s="332" t="n"/>
      <c r="O80" s="332" t="n"/>
      <c r="P80" s="332" t="n"/>
      <c r="Q80" s="332" t="n"/>
      <c r="R80" s="332" t="n"/>
      <c r="S80" s="332" t="n"/>
    </row>
    <row r="81" ht="15.75" customHeight="1" s="345">
      <c r="A81" s="332" t="n"/>
      <c r="B81" s="338" t="n"/>
      <c r="C81" s="332" t="n"/>
      <c r="D81" s="332" t="n"/>
      <c r="E81" s="332" t="n"/>
      <c r="F81" s="332" t="n"/>
      <c r="G81" s="332" t="n"/>
      <c r="H81" s="332" t="n"/>
      <c r="I81" s="332" t="n"/>
      <c r="J81" s="332" t="n"/>
      <c r="K81" s="332" t="n"/>
      <c r="L81" s="332" t="n"/>
      <c r="M81" s="332" t="n"/>
      <c r="N81" s="332" t="n"/>
      <c r="O81" s="332" t="n"/>
      <c r="P81" s="332" t="n"/>
      <c r="Q81" s="332" t="n"/>
      <c r="R81" s="332" t="n"/>
      <c r="S81" s="332" t="n"/>
    </row>
    <row r="82" ht="15.75" customHeight="1" s="345">
      <c r="A82" s="332" t="n"/>
      <c r="B82" s="338" t="n"/>
      <c r="C82" s="332" t="n"/>
      <c r="D82" s="332" t="n"/>
      <c r="E82" s="332" t="n"/>
      <c r="F82" s="332" t="n"/>
      <c r="G82" s="332" t="n"/>
      <c r="H82" s="332" t="n"/>
      <c r="I82" s="332" t="n"/>
      <c r="J82" s="332" t="n"/>
      <c r="K82" s="332" t="n"/>
      <c r="L82" s="332" t="n"/>
      <c r="M82" s="332" t="n"/>
      <c r="N82" s="332" t="n"/>
      <c r="O82" s="332" t="n"/>
      <c r="P82" s="332" t="n"/>
      <c r="Q82" s="332" t="n"/>
      <c r="R82" s="332" t="n"/>
      <c r="S82" s="332" t="n"/>
    </row>
    <row r="83" ht="15.75" customHeight="1" s="345">
      <c r="A83" s="332" t="n"/>
      <c r="B83" s="338" t="n"/>
      <c r="C83" s="332" t="n"/>
      <c r="D83" s="332" t="n"/>
      <c r="E83" s="332" t="n"/>
      <c r="F83" s="332" t="n"/>
      <c r="G83" s="332" t="n"/>
      <c r="H83" s="332" t="n"/>
      <c r="I83" s="332" t="n"/>
      <c r="J83" s="332" t="n"/>
      <c r="K83" s="332" t="n"/>
      <c r="L83" s="332" t="n"/>
      <c r="M83" s="332" t="n"/>
      <c r="N83" s="332" t="n"/>
      <c r="O83" s="332" t="n"/>
      <c r="P83" s="332" t="n"/>
      <c r="Q83" s="332" t="n"/>
      <c r="R83" s="332" t="n"/>
      <c r="S83" s="332" t="n"/>
    </row>
    <row r="84" ht="15.75" customHeight="1" s="345">
      <c r="A84" s="332" t="n"/>
      <c r="B84" s="338" t="n"/>
      <c r="C84" s="332" t="n"/>
      <c r="D84" s="332" t="n"/>
      <c r="E84" s="332" t="n"/>
      <c r="F84" s="332" t="n"/>
      <c r="G84" s="332" t="n"/>
      <c r="H84" s="332" t="n"/>
      <c r="I84" s="332" t="n"/>
      <c r="J84" s="332" t="n"/>
      <c r="K84" s="332" t="n"/>
      <c r="L84" s="332" t="n"/>
      <c r="M84" s="332" t="n"/>
      <c r="N84" s="332" t="n"/>
      <c r="O84" s="332" t="n"/>
      <c r="P84" s="332" t="n"/>
      <c r="Q84" s="332" t="n"/>
      <c r="R84" s="332" t="n"/>
      <c r="S84" s="332" t="n"/>
    </row>
    <row r="85" ht="15.75" customHeight="1" s="345">
      <c r="A85" s="332" t="n"/>
      <c r="B85" s="338" t="n"/>
      <c r="C85" s="332" t="n"/>
      <c r="D85" s="332" t="n"/>
      <c r="E85" s="332" t="n"/>
      <c r="F85" s="332" t="n"/>
      <c r="G85" s="332" t="n"/>
      <c r="H85" s="332" t="n"/>
      <c r="I85" s="332" t="n"/>
      <c r="J85" s="332" t="n"/>
      <c r="K85" s="332" t="n"/>
      <c r="L85" s="332" t="n"/>
      <c r="M85" s="332" t="n"/>
      <c r="N85" s="332" t="n"/>
      <c r="O85" s="332" t="n"/>
      <c r="P85" s="332" t="n"/>
      <c r="Q85" s="332" t="n"/>
      <c r="R85" s="332" t="n"/>
      <c r="S85" s="332" t="n"/>
    </row>
    <row r="86" ht="15.75" customHeight="1" s="345">
      <c r="A86" s="332" t="n"/>
      <c r="B86" s="338" t="n"/>
      <c r="C86" s="332" t="n"/>
      <c r="D86" s="332" t="n"/>
      <c r="E86" s="332" t="n"/>
      <c r="F86" s="332" t="n"/>
      <c r="G86" s="332" t="n"/>
      <c r="H86" s="332" t="n"/>
      <c r="I86" s="332" t="n"/>
      <c r="J86" s="332" t="n"/>
      <c r="K86" s="332" t="n"/>
      <c r="L86" s="332" t="n"/>
      <c r="M86" s="332" t="n"/>
      <c r="N86" s="332" t="n"/>
      <c r="O86" s="332" t="n"/>
      <c r="P86" s="332" t="n"/>
      <c r="Q86" s="332" t="n"/>
      <c r="R86" s="332" t="n"/>
      <c r="S86" s="332" t="n"/>
    </row>
    <row r="87" ht="15.75" customHeight="1" s="345">
      <c r="A87" s="332" t="n"/>
      <c r="B87" s="338" t="n"/>
      <c r="C87" s="332" t="n"/>
      <c r="D87" s="332" t="n"/>
      <c r="E87" s="332" t="n"/>
      <c r="F87" s="332" t="n"/>
      <c r="G87" s="332" t="n"/>
      <c r="H87" s="332" t="n"/>
      <c r="I87" s="332" t="n"/>
      <c r="J87" s="332" t="n"/>
      <c r="K87" s="332" t="n"/>
      <c r="L87" s="332" t="n"/>
      <c r="M87" s="332" t="n"/>
      <c r="N87" s="332" t="n"/>
      <c r="O87" s="332" t="n"/>
      <c r="P87" s="332" t="n"/>
      <c r="Q87" s="332" t="n"/>
      <c r="R87" s="332" t="n"/>
      <c r="S87" s="332" t="n"/>
    </row>
    <row r="88" ht="15.75" customHeight="1" s="345">
      <c r="A88" s="332" t="n"/>
      <c r="B88" s="338" t="n"/>
      <c r="C88" s="332" t="n"/>
      <c r="D88" s="332" t="n"/>
      <c r="E88" s="332" t="n"/>
      <c r="F88" s="332" t="n"/>
      <c r="G88" s="332" t="n"/>
      <c r="H88" s="332" t="n"/>
      <c r="I88" s="332" t="n"/>
      <c r="J88" s="332" t="n"/>
      <c r="K88" s="332" t="n"/>
      <c r="L88" s="332" t="n"/>
      <c r="M88" s="332" t="n"/>
      <c r="N88" s="332" t="n"/>
      <c r="O88" s="332" t="n"/>
      <c r="P88" s="332" t="n"/>
      <c r="Q88" s="332" t="n"/>
      <c r="R88" s="332" t="n"/>
      <c r="S88" s="332" t="n"/>
    </row>
    <row r="89" ht="15.75" customHeight="1" s="345">
      <c r="A89" s="332" t="n"/>
      <c r="B89" s="338" t="n"/>
      <c r="C89" s="332" t="n"/>
      <c r="D89" s="332" t="n"/>
      <c r="E89" s="332" t="n"/>
      <c r="F89" s="332" t="n"/>
      <c r="G89" s="332" t="n"/>
      <c r="H89" s="332" t="n"/>
      <c r="I89" s="332" t="n"/>
      <c r="J89" s="332" t="n"/>
      <c r="K89" s="332" t="n"/>
      <c r="L89" s="332" t="n"/>
      <c r="M89" s="332" t="n"/>
      <c r="N89" s="332" t="n"/>
      <c r="O89" s="332" t="n"/>
      <c r="P89" s="332" t="n"/>
      <c r="Q89" s="332" t="n"/>
      <c r="R89" s="332" t="n"/>
      <c r="S89" s="332" t="n"/>
    </row>
    <row r="90" ht="15.75" customHeight="1" s="345">
      <c r="A90" s="332" t="n"/>
      <c r="B90" s="338" t="n"/>
      <c r="C90" s="332" t="n"/>
      <c r="D90" s="332" t="n"/>
      <c r="E90" s="332" t="n"/>
      <c r="F90" s="332" t="n"/>
      <c r="G90" s="332" t="n"/>
      <c r="H90" s="332" t="n"/>
      <c r="I90" s="332" t="n"/>
      <c r="J90" s="332" t="n"/>
      <c r="K90" s="332" t="n"/>
      <c r="L90" s="332" t="n"/>
      <c r="M90" s="332" t="n"/>
      <c r="N90" s="332" t="n"/>
      <c r="O90" s="332" t="n"/>
      <c r="P90" s="332" t="n"/>
      <c r="Q90" s="332" t="n"/>
      <c r="R90" s="332" t="n"/>
      <c r="S90" s="332" t="n"/>
    </row>
    <row r="91" ht="15.75" customHeight="1" s="345">
      <c r="A91" s="332" t="n"/>
      <c r="B91" s="338" t="n"/>
      <c r="C91" s="332" t="n"/>
      <c r="D91" s="332" t="n"/>
      <c r="E91" s="332" t="n"/>
      <c r="F91" s="332" t="n"/>
      <c r="G91" s="332" t="n"/>
      <c r="H91" s="332" t="n"/>
      <c r="I91" s="332" t="n"/>
      <c r="J91" s="332" t="n"/>
      <c r="K91" s="332" t="n"/>
      <c r="L91" s="332" t="n"/>
      <c r="M91" s="332" t="n"/>
      <c r="N91" s="332" t="n"/>
      <c r="O91" s="332" t="n"/>
      <c r="P91" s="332" t="n"/>
      <c r="Q91" s="332" t="n"/>
      <c r="R91" s="332" t="n"/>
      <c r="S91" s="332" t="n"/>
    </row>
    <row r="92" ht="15.75" customHeight="1" s="345">
      <c r="A92" s="332" t="n"/>
      <c r="B92" s="338" t="n"/>
      <c r="C92" s="332" t="n"/>
      <c r="D92" s="332" t="n"/>
      <c r="E92" s="332" t="n"/>
      <c r="F92" s="332" t="n"/>
      <c r="G92" s="332" t="n"/>
      <c r="H92" s="332" t="n"/>
      <c r="I92" s="332" t="n"/>
      <c r="J92" s="332" t="n"/>
      <c r="K92" s="332" t="n"/>
      <c r="L92" s="332" t="n"/>
      <c r="M92" s="332" t="n"/>
      <c r="N92" s="332" t="n"/>
      <c r="O92" s="332" t="n"/>
      <c r="P92" s="332" t="n"/>
      <c r="Q92" s="332" t="n"/>
      <c r="R92" s="332" t="n"/>
      <c r="S92" s="332" t="n"/>
    </row>
    <row r="93" ht="15.75" customHeight="1" s="345">
      <c r="A93" s="332" t="n"/>
      <c r="B93" s="338" t="n"/>
      <c r="C93" s="332" t="n"/>
      <c r="D93" s="332" t="n"/>
      <c r="E93" s="332" t="n"/>
      <c r="F93" s="332" t="n"/>
      <c r="G93" s="332" t="n"/>
      <c r="H93" s="332" t="n"/>
      <c r="I93" s="332" t="n"/>
      <c r="J93" s="332" t="n"/>
      <c r="K93" s="332" t="n"/>
      <c r="L93" s="332" t="n"/>
      <c r="M93" s="332" t="n"/>
      <c r="N93" s="332" t="n"/>
      <c r="O93" s="332" t="n"/>
      <c r="P93" s="332" t="n"/>
      <c r="Q93" s="332" t="n"/>
      <c r="R93" s="332" t="n"/>
      <c r="S93" s="332" t="n"/>
    </row>
    <row r="94" ht="15.75" customHeight="1" s="345">
      <c r="A94" s="332" t="n"/>
      <c r="B94" s="338" t="n"/>
      <c r="C94" s="332" t="n"/>
      <c r="D94" s="332" t="n"/>
      <c r="E94" s="332" t="n"/>
      <c r="F94" s="332" t="n"/>
      <c r="G94" s="332" t="n"/>
      <c r="H94" s="332" t="n"/>
      <c r="I94" s="332" t="n"/>
      <c r="J94" s="332" t="n"/>
      <c r="K94" s="332" t="n"/>
      <c r="L94" s="332" t="n"/>
      <c r="M94" s="332" t="n"/>
      <c r="N94" s="332" t="n"/>
      <c r="O94" s="332" t="n"/>
      <c r="P94" s="332" t="n"/>
      <c r="Q94" s="332" t="n"/>
      <c r="R94" s="332" t="n"/>
      <c r="S94" s="332" t="n"/>
    </row>
    <row r="95" ht="15.75" customHeight="1" s="345">
      <c r="A95" s="332" t="n"/>
      <c r="B95" s="338" t="n"/>
      <c r="C95" s="332" t="n"/>
      <c r="D95" s="332" t="n"/>
      <c r="E95" s="332" t="n"/>
      <c r="F95" s="332" t="n"/>
      <c r="G95" s="332" t="n"/>
      <c r="H95" s="332" t="n"/>
      <c r="I95" s="332" t="n"/>
      <c r="J95" s="332" t="n"/>
      <c r="K95" s="332" t="n"/>
      <c r="L95" s="332" t="n"/>
      <c r="M95" s="332" t="n"/>
      <c r="N95" s="332" t="n"/>
      <c r="O95" s="332" t="n"/>
      <c r="P95" s="332" t="n"/>
      <c r="Q95" s="332" t="n"/>
      <c r="R95" s="332" t="n"/>
      <c r="S95" s="332" t="n"/>
    </row>
    <row r="96" ht="15.75" customHeight="1" s="345">
      <c r="A96" s="332" t="n"/>
      <c r="B96" s="338" t="n"/>
      <c r="C96" s="332" t="n"/>
      <c r="D96" s="332" t="n"/>
      <c r="E96" s="332" t="n"/>
      <c r="F96" s="332" t="n"/>
      <c r="G96" s="332" t="n"/>
      <c r="H96" s="332" t="n"/>
      <c r="I96" s="332" t="n"/>
      <c r="J96" s="332" t="n"/>
      <c r="K96" s="332" t="n"/>
      <c r="L96" s="332" t="n"/>
      <c r="M96" s="332" t="n"/>
      <c r="N96" s="332" t="n"/>
      <c r="O96" s="332" t="n"/>
      <c r="P96" s="332" t="n"/>
      <c r="Q96" s="332" t="n"/>
      <c r="R96" s="332" t="n"/>
      <c r="S96" s="332" t="n"/>
    </row>
    <row r="97" ht="15.75" customHeight="1" s="345">
      <c r="A97" s="332" t="n"/>
      <c r="B97" s="338" t="n"/>
      <c r="C97" s="332" t="n"/>
      <c r="D97" s="332" t="n"/>
      <c r="E97" s="332" t="n"/>
      <c r="F97" s="332" t="n"/>
      <c r="G97" s="332" t="n"/>
      <c r="H97" s="332" t="n"/>
      <c r="I97" s="332" t="n"/>
      <c r="J97" s="332" t="n"/>
      <c r="K97" s="332" t="n"/>
      <c r="L97" s="332" t="n"/>
      <c r="M97" s="332" t="n"/>
      <c r="N97" s="332" t="n"/>
      <c r="O97" s="332" t="n"/>
      <c r="P97" s="332" t="n"/>
      <c r="Q97" s="332" t="n"/>
      <c r="R97" s="332" t="n"/>
      <c r="S97" s="332" t="n"/>
    </row>
    <row r="98" ht="15.75" customHeight="1" s="345">
      <c r="A98" s="332" t="n"/>
      <c r="B98" s="338" t="n"/>
      <c r="C98" s="332" t="n"/>
      <c r="D98" s="332" t="n"/>
      <c r="E98" s="332" t="n"/>
      <c r="F98" s="332" t="n"/>
      <c r="G98" s="332" t="n"/>
      <c r="H98" s="332" t="n"/>
      <c r="I98" s="332" t="n"/>
      <c r="J98" s="332" t="n"/>
      <c r="K98" s="332" t="n"/>
      <c r="L98" s="332" t="n"/>
      <c r="M98" s="332" t="n"/>
      <c r="N98" s="332" t="n"/>
      <c r="O98" s="332" t="n"/>
      <c r="P98" s="332" t="n"/>
      <c r="Q98" s="332" t="n"/>
      <c r="R98" s="332" t="n"/>
      <c r="S98" s="332" t="n"/>
    </row>
    <row r="99" ht="15.75" customHeight="1" s="345">
      <c r="A99" s="332" t="n"/>
      <c r="B99" s="338" t="n"/>
      <c r="C99" s="332" t="n"/>
      <c r="D99" s="332" t="n"/>
      <c r="E99" s="332" t="n"/>
      <c r="F99" s="332" t="n"/>
      <c r="G99" s="332" t="n"/>
      <c r="H99" s="332" t="n"/>
      <c r="I99" s="332" t="n"/>
      <c r="J99" s="332" t="n"/>
      <c r="K99" s="332" t="n"/>
      <c r="L99" s="332" t="n"/>
      <c r="M99" s="332" t="n"/>
      <c r="N99" s="332" t="n"/>
      <c r="O99" s="332" t="n"/>
      <c r="P99" s="332" t="n"/>
      <c r="Q99" s="332" t="n"/>
      <c r="R99" s="332" t="n"/>
      <c r="S99" s="332" t="n"/>
    </row>
    <row r="100" ht="15.75" customHeight="1" s="345">
      <c r="A100" s="332" t="n"/>
      <c r="B100" s="338" t="n"/>
      <c r="C100" s="332" t="n"/>
      <c r="D100" s="332" t="n"/>
      <c r="E100" s="332" t="n"/>
      <c r="F100" s="332" t="n"/>
      <c r="G100" s="332" t="n"/>
      <c r="H100" s="332" t="n"/>
      <c r="I100" s="332" t="n"/>
      <c r="J100" s="332" t="n"/>
      <c r="K100" s="332" t="n"/>
      <c r="L100" s="332" t="n"/>
      <c r="M100" s="332" t="n"/>
      <c r="N100" s="332" t="n"/>
      <c r="O100" s="332" t="n"/>
      <c r="P100" s="332" t="n"/>
      <c r="Q100" s="332" t="n"/>
      <c r="R100" s="332" t="n"/>
      <c r="S100" s="332" t="n"/>
    </row>
    <row r="101" ht="15.75" customHeight="1" s="345">
      <c r="A101" s="332" t="n"/>
      <c r="B101" s="338" t="n"/>
      <c r="C101" s="332" t="n"/>
      <c r="D101" s="332" t="n"/>
      <c r="E101" s="332" t="n"/>
      <c r="F101" s="332" t="n"/>
      <c r="G101" s="332" t="n"/>
      <c r="H101" s="332" t="n"/>
      <c r="I101" s="332" t="n"/>
      <c r="J101" s="332" t="n"/>
      <c r="K101" s="332" t="n"/>
      <c r="L101" s="332" t="n"/>
      <c r="M101" s="332" t="n"/>
      <c r="N101" s="332" t="n"/>
      <c r="O101" s="332" t="n"/>
      <c r="P101" s="332" t="n"/>
      <c r="Q101" s="332" t="n"/>
      <c r="R101" s="332" t="n"/>
      <c r="S101" s="332" t="n"/>
    </row>
    <row r="102" ht="15.75" customHeight="1" s="345">
      <c r="A102" s="332" t="n"/>
      <c r="B102" s="338" t="n"/>
      <c r="C102" s="332" t="n"/>
      <c r="D102" s="332" t="n"/>
      <c r="E102" s="332" t="n"/>
      <c r="F102" s="332" t="n"/>
      <c r="G102" s="332" t="n"/>
      <c r="H102" s="332" t="n"/>
      <c r="I102" s="332" t="n"/>
      <c r="J102" s="332" t="n"/>
      <c r="K102" s="332" t="n"/>
      <c r="L102" s="332" t="n"/>
      <c r="M102" s="332" t="n"/>
      <c r="N102" s="332" t="n"/>
      <c r="O102" s="332" t="n"/>
      <c r="P102" s="332" t="n"/>
      <c r="Q102" s="332" t="n"/>
      <c r="R102" s="332" t="n"/>
      <c r="S102" s="332" t="n"/>
    </row>
    <row r="103" ht="15.75" customHeight="1" s="345">
      <c r="A103" s="332" t="n"/>
      <c r="B103" s="338" t="n"/>
      <c r="C103" s="332" t="n"/>
      <c r="D103" s="332" t="n"/>
      <c r="E103" s="332" t="n"/>
      <c r="F103" s="332" t="n"/>
      <c r="G103" s="332" t="n"/>
      <c r="H103" s="332" t="n"/>
      <c r="I103" s="332" t="n"/>
      <c r="J103" s="332" t="n"/>
      <c r="K103" s="332" t="n"/>
      <c r="L103" s="332" t="n"/>
      <c r="M103" s="332" t="n"/>
      <c r="N103" s="332" t="n"/>
      <c r="O103" s="332" t="n"/>
      <c r="P103" s="332" t="n"/>
      <c r="Q103" s="332" t="n"/>
      <c r="R103" s="332" t="n"/>
      <c r="S103" s="332" t="n"/>
    </row>
    <row r="104" ht="15.75" customHeight="1" s="345">
      <c r="A104" s="332" t="n"/>
      <c r="B104" s="338" t="n"/>
      <c r="C104" s="332" t="n"/>
      <c r="D104" s="332" t="n"/>
      <c r="E104" s="332" t="n"/>
      <c r="F104" s="332" t="n"/>
      <c r="G104" s="332" t="n"/>
      <c r="H104" s="332" t="n"/>
      <c r="I104" s="332" t="n"/>
      <c r="J104" s="332" t="n"/>
      <c r="K104" s="332" t="n"/>
      <c r="L104" s="332" t="n"/>
      <c r="M104" s="332" t="n"/>
      <c r="N104" s="332" t="n"/>
      <c r="O104" s="332" t="n"/>
      <c r="P104" s="332" t="n"/>
      <c r="Q104" s="332" t="n"/>
      <c r="R104" s="332" t="n"/>
      <c r="S104" s="332" t="n"/>
    </row>
    <row r="105" ht="15.75" customHeight="1" s="345">
      <c r="A105" s="332" t="n"/>
      <c r="B105" s="338" t="n"/>
      <c r="C105" s="332" t="n"/>
      <c r="D105" s="332" t="n"/>
      <c r="E105" s="332" t="n"/>
      <c r="F105" s="332" t="n"/>
      <c r="G105" s="332" t="n"/>
      <c r="H105" s="332" t="n"/>
      <c r="I105" s="332" t="n"/>
      <c r="J105" s="332" t="n"/>
      <c r="K105" s="332" t="n"/>
      <c r="L105" s="332" t="n"/>
      <c r="M105" s="332" t="n"/>
      <c r="N105" s="332" t="n"/>
      <c r="O105" s="332" t="n"/>
      <c r="P105" s="332" t="n"/>
      <c r="Q105" s="332" t="n"/>
      <c r="R105" s="332" t="n"/>
      <c r="S105" s="332" t="n"/>
    </row>
    <row r="106" ht="15.75" customHeight="1" s="345">
      <c r="A106" s="332" t="n"/>
      <c r="B106" s="338" t="n"/>
      <c r="C106" s="332" t="n"/>
      <c r="D106" s="332" t="n"/>
      <c r="E106" s="332" t="n"/>
      <c r="F106" s="332" t="n"/>
      <c r="G106" s="332" t="n"/>
      <c r="H106" s="332" t="n"/>
      <c r="I106" s="332" t="n"/>
      <c r="J106" s="332" t="n"/>
      <c r="K106" s="332" t="n"/>
      <c r="L106" s="332" t="n"/>
      <c r="M106" s="332" t="n"/>
      <c r="N106" s="332" t="n"/>
      <c r="O106" s="332" t="n"/>
      <c r="P106" s="332" t="n"/>
      <c r="Q106" s="332" t="n"/>
      <c r="R106" s="332" t="n"/>
      <c r="S106" s="332" t="n"/>
    </row>
    <row r="107" ht="15.75" customHeight="1" s="345">
      <c r="A107" s="332" t="n"/>
      <c r="B107" s="338" t="n"/>
      <c r="C107" s="332" t="n"/>
      <c r="D107" s="332" t="n"/>
      <c r="E107" s="332" t="n"/>
      <c r="F107" s="332" t="n"/>
      <c r="G107" s="332" t="n"/>
      <c r="H107" s="332" t="n"/>
      <c r="I107" s="332" t="n"/>
      <c r="J107" s="332" t="n"/>
      <c r="K107" s="332" t="n"/>
      <c r="L107" s="332" t="n"/>
      <c r="M107" s="332" t="n"/>
      <c r="N107" s="332" t="n"/>
      <c r="O107" s="332" t="n"/>
      <c r="P107" s="332" t="n"/>
      <c r="Q107" s="332" t="n"/>
      <c r="R107" s="332" t="n"/>
      <c r="S107" s="332" t="n"/>
    </row>
    <row r="108" ht="15.75" customHeight="1" s="345">
      <c r="A108" s="332" t="n"/>
      <c r="B108" s="338" t="n"/>
      <c r="C108" s="332" t="n"/>
      <c r="D108" s="332" t="n"/>
      <c r="E108" s="332" t="n"/>
      <c r="F108" s="332" t="n"/>
      <c r="G108" s="332" t="n"/>
      <c r="H108" s="332" t="n"/>
      <c r="I108" s="332" t="n"/>
      <c r="J108" s="332" t="n"/>
      <c r="K108" s="332" t="n"/>
      <c r="L108" s="332" t="n"/>
      <c r="M108" s="332" t="n"/>
      <c r="N108" s="332" t="n"/>
      <c r="O108" s="332" t="n"/>
      <c r="P108" s="332" t="n"/>
      <c r="Q108" s="332" t="n"/>
      <c r="R108" s="332" t="n"/>
      <c r="S108" s="332" t="n"/>
    </row>
    <row r="109" ht="15.75" customHeight="1" s="345">
      <c r="A109" s="332" t="n"/>
      <c r="B109" s="338" t="n"/>
      <c r="C109" s="332" t="n"/>
      <c r="D109" s="332" t="n"/>
      <c r="E109" s="332" t="n"/>
      <c r="F109" s="332" t="n"/>
      <c r="G109" s="332" t="n"/>
      <c r="H109" s="332" t="n"/>
      <c r="I109" s="332" t="n"/>
      <c r="J109" s="332" t="n"/>
      <c r="K109" s="332" t="n"/>
      <c r="L109" s="332" t="n"/>
      <c r="M109" s="332" t="n"/>
      <c r="N109" s="332" t="n"/>
      <c r="O109" s="332" t="n"/>
      <c r="P109" s="332" t="n"/>
      <c r="Q109" s="332" t="n"/>
      <c r="R109" s="332" t="n"/>
      <c r="S109" s="332" t="n"/>
    </row>
    <row r="110" ht="15.75" customHeight="1" s="345">
      <c r="A110" s="332" t="n"/>
      <c r="B110" s="338" t="n"/>
      <c r="C110" s="332" t="n"/>
      <c r="D110" s="332" t="n"/>
      <c r="E110" s="332" t="n"/>
      <c r="F110" s="332" t="n"/>
      <c r="G110" s="332" t="n"/>
      <c r="H110" s="332" t="n"/>
      <c r="I110" s="332" t="n"/>
      <c r="J110" s="332" t="n"/>
      <c r="K110" s="332" t="n"/>
      <c r="L110" s="332" t="n"/>
      <c r="M110" s="332" t="n"/>
      <c r="N110" s="332" t="n"/>
      <c r="O110" s="332" t="n"/>
      <c r="P110" s="332" t="n"/>
      <c r="Q110" s="332" t="n"/>
      <c r="R110" s="332" t="n"/>
      <c r="S110" s="332" t="n"/>
    </row>
    <row r="111" ht="15.75" customHeight="1" s="345">
      <c r="A111" s="332" t="n"/>
      <c r="B111" s="338" t="n"/>
      <c r="C111" s="332" t="n"/>
      <c r="D111" s="332" t="n"/>
      <c r="E111" s="332" t="n"/>
      <c r="F111" s="332" t="n"/>
      <c r="G111" s="332" t="n"/>
      <c r="H111" s="332" t="n"/>
      <c r="I111" s="332" t="n"/>
      <c r="J111" s="332" t="n"/>
      <c r="K111" s="332" t="n"/>
      <c r="L111" s="332" t="n"/>
      <c r="M111" s="332" t="n"/>
      <c r="N111" s="332" t="n"/>
      <c r="O111" s="332" t="n"/>
      <c r="P111" s="332" t="n"/>
      <c r="Q111" s="332" t="n"/>
      <c r="R111" s="332" t="n"/>
      <c r="S111" s="332" t="n"/>
    </row>
    <row r="112" ht="15.75" customHeight="1" s="345">
      <c r="A112" s="332" t="n"/>
      <c r="B112" s="338" t="n"/>
      <c r="C112" s="332" t="n"/>
      <c r="D112" s="332" t="n"/>
      <c r="E112" s="332" t="n"/>
      <c r="F112" s="332" t="n"/>
      <c r="G112" s="332" t="n"/>
      <c r="H112" s="332" t="n"/>
      <c r="I112" s="332" t="n"/>
      <c r="J112" s="332" t="n"/>
      <c r="K112" s="332" t="n"/>
      <c r="L112" s="332" t="n"/>
      <c r="M112" s="332" t="n"/>
      <c r="N112" s="332" t="n"/>
      <c r="O112" s="332" t="n"/>
      <c r="P112" s="332" t="n"/>
      <c r="Q112" s="332" t="n"/>
      <c r="R112" s="332" t="n"/>
      <c r="S112" s="332" t="n"/>
    </row>
    <row r="113" ht="15.75" customHeight="1" s="345">
      <c r="A113" s="332" t="n"/>
      <c r="B113" s="338" t="n"/>
      <c r="C113" s="332" t="n"/>
      <c r="D113" s="332" t="n"/>
      <c r="E113" s="332" t="n"/>
      <c r="F113" s="332" t="n"/>
      <c r="G113" s="332" t="n"/>
      <c r="H113" s="332" t="n"/>
      <c r="I113" s="332" t="n"/>
      <c r="J113" s="332" t="n"/>
      <c r="K113" s="332" t="n"/>
      <c r="L113" s="332" t="n"/>
      <c r="M113" s="332" t="n"/>
      <c r="N113" s="332" t="n"/>
      <c r="O113" s="332" t="n"/>
      <c r="P113" s="332" t="n"/>
      <c r="Q113" s="332" t="n"/>
      <c r="R113" s="332" t="n"/>
      <c r="S113" s="332" t="n"/>
    </row>
    <row r="114" ht="15.75" customHeight="1" s="345">
      <c r="A114" s="332" t="n"/>
      <c r="B114" s="338" t="n"/>
      <c r="C114" s="332" t="n"/>
      <c r="D114" s="332" t="n"/>
      <c r="E114" s="332" t="n"/>
      <c r="F114" s="332" t="n"/>
      <c r="G114" s="332" t="n"/>
      <c r="H114" s="332" t="n"/>
      <c r="I114" s="332" t="n"/>
      <c r="J114" s="332" t="n"/>
      <c r="K114" s="332" t="n"/>
      <c r="L114" s="332" t="n"/>
      <c r="M114" s="332" t="n"/>
      <c r="N114" s="332" t="n"/>
      <c r="O114" s="332" t="n"/>
      <c r="P114" s="332" t="n"/>
      <c r="Q114" s="332" t="n"/>
      <c r="R114" s="332" t="n"/>
      <c r="S114" s="332" t="n"/>
    </row>
    <row r="115" ht="15.75" customHeight="1" s="345">
      <c r="A115" s="332" t="n"/>
      <c r="B115" s="338" t="n"/>
      <c r="C115" s="332" t="n"/>
      <c r="D115" s="332" t="n"/>
      <c r="E115" s="332" t="n"/>
      <c r="F115" s="332" t="n"/>
      <c r="G115" s="332" t="n"/>
      <c r="H115" s="332" t="n"/>
      <c r="I115" s="332" t="n"/>
      <c r="J115" s="332" t="n"/>
      <c r="K115" s="332" t="n"/>
      <c r="L115" s="332" t="n"/>
      <c r="M115" s="332" t="n"/>
      <c r="N115" s="332" t="n"/>
      <c r="O115" s="332" t="n"/>
      <c r="P115" s="332" t="n"/>
      <c r="Q115" s="332" t="n"/>
      <c r="R115" s="332" t="n"/>
      <c r="S115" s="332" t="n"/>
    </row>
    <row r="116" ht="15.75" customHeight="1" s="345">
      <c r="A116" s="332" t="n"/>
      <c r="B116" s="338" t="n"/>
      <c r="C116" s="332" t="n"/>
      <c r="D116" s="332" t="n"/>
      <c r="E116" s="332" t="n"/>
      <c r="F116" s="332" t="n"/>
      <c r="G116" s="332" t="n"/>
      <c r="H116" s="332" t="n"/>
      <c r="I116" s="332" t="n"/>
      <c r="J116" s="332" t="n"/>
      <c r="K116" s="332" t="n"/>
      <c r="L116" s="332" t="n"/>
      <c r="M116" s="332" t="n"/>
      <c r="N116" s="332" t="n"/>
      <c r="O116" s="332" t="n"/>
      <c r="P116" s="332" t="n"/>
      <c r="Q116" s="332" t="n"/>
      <c r="R116" s="332" t="n"/>
      <c r="S116" s="332" t="n"/>
    </row>
    <row r="117" ht="15.75" customHeight="1" s="345">
      <c r="A117" s="332" t="n"/>
      <c r="B117" s="338" t="n"/>
      <c r="C117" s="332" t="n"/>
      <c r="D117" s="332" t="n"/>
      <c r="E117" s="332" t="n"/>
      <c r="F117" s="332" t="n"/>
      <c r="G117" s="332" t="n"/>
      <c r="H117" s="332" t="n"/>
      <c r="I117" s="332" t="n"/>
      <c r="J117" s="332" t="n"/>
      <c r="K117" s="332" t="n"/>
      <c r="L117" s="332" t="n"/>
      <c r="M117" s="332" t="n"/>
      <c r="N117" s="332" t="n"/>
      <c r="O117" s="332" t="n"/>
      <c r="P117" s="332" t="n"/>
      <c r="Q117" s="332" t="n"/>
      <c r="R117" s="332" t="n"/>
      <c r="S117" s="332" t="n"/>
    </row>
    <row r="118" ht="15.75" customHeight="1" s="345">
      <c r="A118" s="332" t="n"/>
      <c r="B118" s="338" t="n"/>
      <c r="C118" s="332" t="n"/>
      <c r="D118" s="332" t="n"/>
      <c r="E118" s="332" t="n"/>
      <c r="F118" s="332" t="n"/>
      <c r="G118" s="332" t="n"/>
      <c r="H118" s="332" t="n"/>
      <c r="I118" s="332" t="n"/>
      <c r="J118" s="332" t="n"/>
      <c r="K118" s="332" t="n"/>
      <c r="L118" s="332" t="n"/>
      <c r="M118" s="332" t="n"/>
      <c r="N118" s="332" t="n"/>
      <c r="O118" s="332" t="n"/>
      <c r="P118" s="332" t="n"/>
      <c r="Q118" s="332" t="n"/>
      <c r="R118" s="332" t="n"/>
      <c r="S118" s="332" t="n"/>
    </row>
    <row r="119" ht="15.75" customHeight="1" s="345">
      <c r="A119" s="332" t="n"/>
      <c r="B119" s="338" t="n"/>
      <c r="C119" s="332" t="n"/>
      <c r="D119" s="332" t="n"/>
      <c r="E119" s="332" t="n"/>
      <c r="F119" s="332" t="n"/>
      <c r="G119" s="332" t="n"/>
      <c r="H119" s="332" t="n"/>
      <c r="I119" s="332" t="n"/>
      <c r="J119" s="332" t="n"/>
      <c r="K119" s="332" t="n"/>
      <c r="L119" s="332" t="n"/>
      <c r="M119" s="332" t="n"/>
      <c r="N119" s="332" t="n"/>
      <c r="O119" s="332" t="n"/>
      <c r="P119" s="332" t="n"/>
      <c r="Q119" s="332" t="n"/>
      <c r="R119" s="332" t="n"/>
      <c r="S119" s="332" t="n"/>
    </row>
    <row r="120" ht="15.75" customHeight="1" s="345">
      <c r="A120" s="332" t="n"/>
      <c r="B120" s="338" t="n"/>
      <c r="C120" s="332" t="n"/>
      <c r="D120" s="332" t="n"/>
      <c r="E120" s="332" t="n"/>
      <c r="F120" s="332" t="n"/>
      <c r="G120" s="332" t="n"/>
      <c r="H120" s="332" t="n"/>
      <c r="I120" s="332" t="n"/>
      <c r="J120" s="332" t="n"/>
      <c r="K120" s="332" t="n"/>
      <c r="L120" s="332" t="n"/>
      <c r="M120" s="332" t="n"/>
      <c r="N120" s="332" t="n"/>
      <c r="O120" s="332" t="n"/>
      <c r="P120" s="332" t="n"/>
      <c r="Q120" s="332" t="n"/>
      <c r="R120" s="332" t="n"/>
      <c r="S120" s="332" t="n"/>
    </row>
    <row r="121" ht="15.75" customHeight="1" s="345">
      <c r="A121" s="332" t="n"/>
      <c r="B121" s="338" t="n"/>
      <c r="C121" s="332" t="n"/>
      <c r="D121" s="332" t="n"/>
      <c r="E121" s="332" t="n"/>
      <c r="F121" s="332" t="n"/>
      <c r="G121" s="332" t="n"/>
      <c r="H121" s="332" t="n"/>
      <c r="I121" s="332" t="n"/>
      <c r="J121" s="332" t="n"/>
      <c r="K121" s="332" t="n"/>
      <c r="L121" s="332" t="n"/>
      <c r="M121" s="332" t="n"/>
      <c r="N121" s="332" t="n"/>
      <c r="O121" s="332" t="n"/>
      <c r="P121" s="332" t="n"/>
      <c r="Q121" s="332" t="n"/>
      <c r="R121" s="332" t="n"/>
      <c r="S121" s="332" t="n"/>
    </row>
    <row r="122" ht="15.75" customHeight="1" s="345">
      <c r="A122" s="332" t="n"/>
      <c r="B122" s="338" t="n"/>
      <c r="C122" s="332" t="n"/>
      <c r="D122" s="332" t="n"/>
      <c r="E122" s="332" t="n"/>
      <c r="F122" s="332" t="n"/>
      <c r="G122" s="332" t="n"/>
      <c r="H122" s="332" t="n"/>
      <c r="I122" s="332" t="n"/>
      <c r="J122" s="332" t="n"/>
      <c r="K122" s="332" t="n"/>
      <c r="L122" s="332" t="n"/>
      <c r="M122" s="332" t="n"/>
      <c r="N122" s="332" t="n"/>
      <c r="O122" s="332" t="n"/>
      <c r="P122" s="332" t="n"/>
      <c r="Q122" s="332" t="n"/>
      <c r="R122" s="332" t="n"/>
      <c r="S122" s="332" t="n"/>
    </row>
    <row r="123" ht="15.75" customHeight="1" s="345">
      <c r="A123" s="332" t="n"/>
      <c r="B123" s="338" t="n"/>
      <c r="C123" s="332" t="n"/>
      <c r="D123" s="332" t="n"/>
      <c r="E123" s="332" t="n"/>
      <c r="F123" s="332" t="n"/>
      <c r="G123" s="332" t="n"/>
      <c r="H123" s="332" t="n"/>
      <c r="I123" s="332" t="n"/>
      <c r="J123" s="332" t="n"/>
      <c r="K123" s="332" t="n"/>
      <c r="L123" s="332" t="n"/>
      <c r="M123" s="332" t="n"/>
      <c r="N123" s="332" t="n"/>
      <c r="O123" s="332" t="n"/>
      <c r="P123" s="332" t="n"/>
      <c r="Q123" s="332" t="n"/>
      <c r="R123" s="332" t="n"/>
      <c r="S123" s="332" t="n"/>
    </row>
    <row r="124" ht="15.75" customHeight="1" s="345">
      <c r="A124" s="332" t="n"/>
      <c r="B124" s="338" t="n"/>
      <c r="C124" s="332" t="n"/>
      <c r="D124" s="332" t="n"/>
      <c r="E124" s="332" t="n"/>
      <c r="F124" s="332" t="n"/>
      <c r="G124" s="332" t="n"/>
      <c r="H124" s="332" t="n"/>
      <c r="I124" s="332" t="n"/>
      <c r="J124" s="332" t="n"/>
      <c r="K124" s="332" t="n"/>
      <c r="L124" s="332" t="n"/>
      <c r="M124" s="332" t="n"/>
      <c r="N124" s="332" t="n"/>
      <c r="O124" s="332" t="n"/>
      <c r="P124" s="332" t="n"/>
      <c r="Q124" s="332" t="n"/>
      <c r="R124" s="332" t="n"/>
      <c r="S124" s="332" t="n"/>
    </row>
    <row r="125" ht="15.75" customHeight="1" s="345">
      <c r="A125" s="332" t="n"/>
      <c r="B125" s="338" t="n"/>
      <c r="C125" s="332" t="n"/>
      <c r="D125" s="332" t="n"/>
      <c r="E125" s="332" t="n"/>
      <c r="F125" s="332" t="n"/>
      <c r="G125" s="332" t="n"/>
      <c r="H125" s="332" t="n"/>
      <c r="I125" s="332" t="n"/>
      <c r="J125" s="332" t="n"/>
      <c r="K125" s="332" t="n"/>
      <c r="L125" s="332" t="n"/>
      <c r="M125" s="332" t="n"/>
      <c r="N125" s="332" t="n"/>
      <c r="O125" s="332" t="n"/>
      <c r="P125" s="332" t="n"/>
      <c r="Q125" s="332" t="n"/>
      <c r="R125" s="332" t="n"/>
      <c r="S125" s="332" t="n"/>
    </row>
    <row r="126" ht="15.75" customHeight="1" s="345">
      <c r="A126" s="332" t="n"/>
      <c r="B126" s="338" t="n"/>
      <c r="C126" s="332" t="n"/>
      <c r="D126" s="332" t="n"/>
      <c r="E126" s="332" t="n"/>
      <c r="F126" s="332" t="n"/>
      <c r="G126" s="332" t="n"/>
      <c r="H126" s="332" t="n"/>
      <c r="I126" s="332" t="n"/>
      <c r="J126" s="332" t="n"/>
      <c r="K126" s="332" t="n"/>
      <c r="L126" s="332" t="n"/>
      <c r="M126" s="332" t="n"/>
      <c r="N126" s="332" t="n"/>
      <c r="O126" s="332" t="n"/>
      <c r="P126" s="332" t="n"/>
      <c r="Q126" s="332" t="n"/>
      <c r="R126" s="332" t="n"/>
      <c r="S126" s="332" t="n"/>
    </row>
    <row r="127" ht="15.75" customHeight="1" s="345">
      <c r="A127" s="332" t="n"/>
      <c r="B127" s="338" t="n"/>
      <c r="C127" s="332" t="n"/>
      <c r="D127" s="332" t="n"/>
      <c r="E127" s="332" t="n"/>
      <c r="F127" s="332" t="n"/>
      <c r="G127" s="332" t="n"/>
      <c r="H127" s="332" t="n"/>
      <c r="I127" s="332" t="n"/>
      <c r="J127" s="332" t="n"/>
      <c r="K127" s="332" t="n"/>
      <c r="L127" s="332" t="n"/>
      <c r="M127" s="332" t="n"/>
      <c r="N127" s="332" t="n"/>
      <c r="O127" s="332" t="n"/>
      <c r="P127" s="332" t="n"/>
      <c r="Q127" s="332" t="n"/>
      <c r="R127" s="332" t="n"/>
      <c r="S127" s="332" t="n"/>
    </row>
    <row r="128" ht="15.75" customHeight="1" s="345">
      <c r="A128" s="332" t="n"/>
      <c r="B128" s="338" t="n"/>
      <c r="C128" s="332" t="n"/>
      <c r="D128" s="332" t="n"/>
      <c r="E128" s="332" t="n"/>
      <c r="F128" s="332" t="n"/>
      <c r="G128" s="332" t="n"/>
      <c r="H128" s="332" t="n"/>
      <c r="I128" s="332" t="n"/>
      <c r="J128" s="332" t="n"/>
      <c r="K128" s="332" t="n"/>
      <c r="L128" s="332" t="n"/>
      <c r="M128" s="332" t="n"/>
      <c r="N128" s="332" t="n"/>
      <c r="O128" s="332" t="n"/>
      <c r="P128" s="332" t="n"/>
      <c r="Q128" s="332" t="n"/>
      <c r="R128" s="332" t="n"/>
      <c r="S128" s="332" t="n"/>
    </row>
    <row r="129" ht="15.75" customHeight="1" s="345">
      <c r="A129" s="332" t="n"/>
      <c r="B129" s="338" t="n"/>
      <c r="C129" s="332" t="n"/>
      <c r="D129" s="332" t="n"/>
      <c r="E129" s="332" t="n"/>
      <c r="F129" s="332" t="n"/>
      <c r="G129" s="332" t="n"/>
      <c r="H129" s="332" t="n"/>
      <c r="I129" s="332" t="n"/>
      <c r="J129" s="332" t="n"/>
      <c r="K129" s="332" t="n"/>
      <c r="L129" s="332" t="n"/>
      <c r="M129" s="332" t="n"/>
      <c r="N129" s="332" t="n"/>
      <c r="O129" s="332" t="n"/>
      <c r="P129" s="332" t="n"/>
      <c r="Q129" s="332" t="n"/>
      <c r="R129" s="332" t="n"/>
      <c r="S129" s="332" t="n"/>
    </row>
    <row r="130" ht="15.75" customHeight="1" s="345">
      <c r="A130" s="332" t="n"/>
      <c r="B130" s="338" t="n"/>
      <c r="C130" s="332" t="n"/>
      <c r="D130" s="332" t="n"/>
      <c r="E130" s="332" t="n"/>
      <c r="F130" s="332" t="n"/>
      <c r="G130" s="332" t="n"/>
      <c r="H130" s="332" t="n"/>
      <c r="I130" s="332" t="n"/>
      <c r="J130" s="332" t="n"/>
      <c r="K130" s="332" t="n"/>
      <c r="L130" s="332" t="n"/>
      <c r="M130" s="332" t="n"/>
      <c r="N130" s="332" t="n"/>
      <c r="O130" s="332" t="n"/>
      <c r="P130" s="332" t="n"/>
      <c r="Q130" s="332" t="n"/>
      <c r="R130" s="332" t="n"/>
      <c r="S130" s="332" t="n"/>
    </row>
    <row r="131" ht="15.75" customHeight="1" s="345">
      <c r="A131" s="332" t="n"/>
      <c r="B131" s="338" t="n"/>
      <c r="C131" s="332" t="n"/>
      <c r="D131" s="332" t="n"/>
      <c r="E131" s="332" t="n"/>
      <c r="F131" s="332" t="n"/>
      <c r="G131" s="332" t="n"/>
      <c r="H131" s="332" t="n"/>
      <c r="I131" s="332" t="n"/>
      <c r="J131" s="332" t="n"/>
      <c r="K131" s="332" t="n"/>
      <c r="L131" s="332" t="n"/>
      <c r="M131" s="332" t="n"/>
      <c r="N131" s="332" t="n"/>
      <c r="O131" s="332" t="n"/>
      <c r="P131" s="332" t="n"/>
      <c r="Q131" s="332" t="n"/>
      <c r="R131" s="332" t="n"/>
      <c r="S131" s="332" t="n"/>
    </row>
    <row r="132" ht="15.75" customHeight="1" s="345">
      <c r="A132" s="332" t="n"/>
      <c r="B132" s="338" t="n"/>
      <c r="C132" s="332" t="n"/>
      <c r="D132" s="332" t="n"/>
      <c r="E132" s="332" t="n"/>
      <c r="F132" s="332" t="n"/>
      <c r="G132" s="332" t="n"/>
      <c r="H132" s="332" t="n"/>
      <c r="I132" s="332" t="n"/>
      <c r="J132" s="332" t="n"/>
      <c r="K132" s="332" t="n"/>
      <c r="L132" s="332" t="n"/>
      <c r="M132" s="332" t="n"/>
      <c r="N132" s="332" t="n"/>
      <c r="O132" s="332" t="n"/>
      <c r="P132" s="332" t="n"/>
      <c r="Q132" s="332" t="n"/>
      <c r="R132" s="332" t="n"/>
      <c r="S132" s="332" t="n"/>
    </row>
    <row r="133" ht="15.75" customHeight="1" s="345">
      <c r="A133" s="332" t="n"/>
      <c r="B133" s="338" t="n"/>
      <c r="C133" s="332" t="n"/>
      <c r="D133" s="332" t="n"/>
      <c r="E133" s="332" t="n"/>
      <c r="F133" s="332" t="n"/>
      <c r="G133" s="332" t="n"/>
      <c r="H133" s="332" t="n"/>
      <c r="I133" s="332" t="n"/>
      <c r="J133" s="332" t="n"/>
      <c r="K133" s="332" t="n"/>
      <c r="L133" s="332" t="n"/>
      <c r="M133" s="332" t="n"/>
      <c r="N133" s="332" t="n"/>
      <c r="O133" s="332" t="n"/>
      <c r="P133" s="332" t="n"/>
      <c r="Q133" s="332" t="n"/>
      <c r="R133" s="332" t="n"/>
      <c r="S133" s="332" t="n"/>
    </row>
    <row r="134" ht="15.75" customHeight="1" s="345">
      <c r="A134" s="332" t="n"/>
      <c r="B134" s="338" t="n"/>
      <c r="C134" s="332" t="n"/>
      <c r="D134" s="332" t="n"/>
      <c r="E134" s="332" t="n"/>
      <c r="F134" s="332" t="n"/>
      <c r="G134" s="332" t="n"/>
      <c r="H134" s="332" t="n"/>
      <c r="I134" s="332" t="n"/>
      <c r="J134" s="332" t="n"/>
      <c r="K134" s="332" t="n"/>
      <c r="L134" s="332" t="n"/>
      <c r="M134" s="332" t="n"/>
      <c r="N134" s="332" t="n"/>
      <c r="O134" s="332" t="n"/>
      <c r="P134" s="332" t="n"/>
      <c r="Q134" s="332" t="n"/>
      <c r="R134" s="332" t="n"/>
      <c r="S134" s="332" t="n"/>
    </row>
    <row r="135" ht="15.75" customHeight="1" s="345">
      <c r="A135" s="332" t="n"/>
      <c r="B135" s="338" t="n"/>
      <c r="C135" s="332" t="n"/>
      <c r="D135" s="332" t="n"/>
      <c r="E135" s="332" t="n"/>
      <c r="F135" s="332" t="n"/>
      <c r="G135" s="332" t="n"/>
      <c r="H135" s="332" t="n"/>
      <c r="I135" s="332" t="n"/>
      <c r="J135" s="332" t="n"/>
      <c r="K135" s="332" t="n"/>
      <c r="L135" s="332" t="n"/>
      <c r="M135" s="332" t="n"/>
      <c r="N135" s="332" t="n"/>
      <c r="O135" s="332" t="n"/>
      <c r="P135" s="332" t="n"/>
      <c r="Q135" s="332" t="n"/>
      <c r="R135" s="332" t="n"/>
      <c r="S135" s="332" t="n"/>
    </row>
    <row r="136" ht="15.75" customHeight="1" s="345">
      <c r="A136" s="332" t="n"/>
      <c r="B136" s="338" t="n"/>
      <c r="C136" s="332" t="n"/>
      <c r="D136" s="332" t="n"/>
      <c r="E136" s="332" t="n"/>
      <c r="F136" s="332" t="n"/>
      <c r="G136" s="332" t="n"/>
      <c r="H136" s="332" t="n"/>
      <c r="I136" s="332" t="n"/>
      <c r="J136" s="332" t="n"/>
      <c r="K136" s="332" t="n"/>
      <c r="L136" s="332" t="n"/>
      <c r="M136" s="332" t="n"/>
      <c r="N136" s="332" t="n"/>
      <c r="O136" s="332" t="n"/>
      <c r="P136" s="332" t="n"/>
      <c r="Q136" s="332" t="n"/>
      <c r="R136" s="332" t="n"/>
      <c r="S136" s="332" t="n"/>
    </row>
    <row r="137" ht="15.75" customHeight="1" s="345">
      <c r="A137" s="332" t="n"/>
      <c r="B137" s="338" t="n"/>
      <c r="C137" s="332" t="n"/>
      <c r="D137" s="332" t="n"/>
      <c r="E137" s="332" t="n"/>
      <c r="F137" s="332" t="n"/>
      <c r="G137" s="332" t="n"/>
      <c r="H137" s="332" t="n"/>
      <c r="I137" s="332" t="n"/>
      <c r="J137" s="332" t="n"/>
      <c r="K137" s="332" t="n"/>
      <c r="L137" s="332" t="n"/>
      <c r="M137" s="332" t="n"/>
      <c r="N137" s="332" t="n"/>
      <c r="O137" s="332" t="n"/>
      <c r="P137" s="332" t="n"/>
      <c r="Q137" s="332" t="n"/>
      <c r="R137" s="332" t="n"/>
      <c r="S137" s="332" t="n"/>
    </row>
    <row r="138" ht="15.75" customHeight="1" s="345">
      <c r="A138" s="332" t="n"/>
      <c r="B138" s="338" t="n"/>
      <c r="C138" s="332" t="n"/>
      <c r="D138" s="332" t="n"/>
      <c r="E138" s="332" t="n"/>
      <c r="F138" s="332" t="n"/>
      <c r="G138" s="332" t="n"/>
      <c r="H138" s="332" t="n"/>
      <c r="I138" s="332" t="n"/>
      <c r="J138" s="332" t="n"/>
      <c r="K138" s="332" t="n"/>
      <c r="L138" s="332" t="n"/>
      <c r="M138" s="332" t="n"/>
      <c r="N138" s="332" t="n"/>
      <c r="O138" s="332" t="n"/>
      <c r="P138" s="332" t="n"/>
      <c r="Q138" s="332" t="n"/>
      <c r="R138" s="332" t="n"/>
      <c r="S138" s="332" t="n"/>
    </row>
    <row r="139" ht="15.75" customHeight="1" s="345">
      <c r="A139" s="332" t="n"/>
      <c r="B139" s="338" t="n"/>
      <c r="C139" s="332" t="n"/>
      <c r="D139" s="332" t="n"/>
      <c r="E139" s="332" t="n"/>
      <c r="F139" s="332" t="n"/>
      <c r="G139" s="332" t="n"/>
      <c r="H139" s="332" t="n"/>
      <c r="I139" s="332" t="n"/>
      <c r="J139" s="332" t="n"/>
      <c r="K139" s="332" t="n"/>
      <c r="L139" s="332" t="n"/>
      <c r="M139" s="332" t="n"/>
      <c r="N139" s="332" t="n"/>
      <c r="O139" s="332" t="n"/>
      <c r="P139" s="332" t="n"/>
      <c r="Q139" s="332" t="n"/>
      <c r="R139" s="332" t="n"/>
      <c r="S139" s="332" t="n"/>
    </row>
    <row r="140" ht="15.75" customHeight="1" s="345">
      <c r="A140" s="332" t="n"/>
      <c r="B140" s="338" t="n"/>
      <c r="C140" s="332" t="n"/>
      <c r="D140" s="332" t="n"/>
      <c r="E140" s="332" t="n"/>
      <c r="F140" s="332" t="n"/>
      <c r="G140" s="332" t="n"/>
      <c r="H140" s="332" t="n"/>
      <c r="I140" s="332" t="n"/>
      <c r="J140" s="332" t="n"/>
      <c r="K140" s="332" t="n"/>
      <c r="L140" s="332" t="n"/>
      <c r="M140" s="332" t="n"/>
      <c r="N140" s="332" t="n"/>
      <c r="O140" s="332" t="n"/>
      <c r="P140" s="332" t="n"/>
      <c r="Q140" s="332" t="n"/>
      <c r="R140" s="332" t="n"/>
      <c r="S140" s="332" t="n"/>
    </row>
    <row r="141" ht="15.75" customHeight="1" s="345">
      <c r="A141" s="332" t="n"/>
      <c r="B141" s="338" t="n"/>
      <c r="C141" s="332" t="n"/>
      <c r="D141" s="332" t="n"/>
      <c r="E141" s="332" t="n"/>
      <c r="F141" s="332" t="n"/>
      <c r="G141" s="332" t="n"/>
      <c r="H141" s="332" t="n"/>
      <c r="I141" s="332" t="n"/>
      <c r="J141" s="332" t="n"/>
      <c r="K141" s="332" t="n"/>
      <c r="L141" s="332" t="n"/>
      <c r="M141" s="332" t="n"/>
      <c r="N141" s="332" t="n"/>
      <c r="O141" s="332" t="n"/>
      <c r="P141" s="332" t="n"/>
      <c r="Q141" s="332" t="n"/>
      <c r="R141" s="332" t="n"/>
      <c r="S141" s="332" t="n"/>
    </row>
    <row r="142" ht="15.75" customHeight="1" s="345">
      <c r="A142" s="332" t="n"/>
      <c r="B142" s="338" t="n"/>
      <c r="C142" s="332" t="n"/>
      <c r="D142" s="332" t="n"/>
      <c r="E142" s="332" t="n"/>
      <c r="F142" s="332" t="n"/>
      <c r="G142" s="332" t="n"/>
      <c r="H142" s="332" t="n"/>
      <c r="I142" s="332" t="n"/>
      <c r="J142" s="332" t="n"/>
      <c r="K142" s="332" t="n"/>
      <c r="L142" s="332" t="n"/>
      <c r="M142" s="332" t="n"/>
      <c r="N142" s="332" t="n"/>
      <c r="O142" s="332" t="n"/>
      <c r="P142" s="332" t="n"/>
      <c r="Q142" s="332" t="n"/>
      <c r="R142" s="332" t="n"/>
      <c r="S142" s="332" t="n"/>
    </row>
    <row r="143" ht="15.75" customHeight="1" s="345">
      <c r="A143" s="332" t="n"/>
      <c r="B143" s="338" t="n"/>
      <c r="C143" s="332" t="n"/>
      <c r="D143" s="332" t="n"/>
      <c r="E143" s="332" t="n"/>
      <c r="F143" s="332" t="n"/>
      <c r="G143" s="332" t="n"/>
      <c r="H143" s="332" t="n"/>
      <c r="I143" s="332" t="n"/>
      <c r="J143" s="332" t="n"/>
      <c r="K143" s="332" t="n"/>
      <c r="L143" s="332" t="n"/>
      <c r="M143" s="332" t="n"/>
      <c r="N143" s="332" t="n"/>
      <c r="O143" s="332" t="n"/>
      <c r="P143" s="332" t="n"/>
      <c r="Q143" s="332" t="n"/>
      <c r="R143" s="332" t="n"/>
      <c r="S143" s="332" t="n"/>
    </row>
    <row r="144" ht="15.75" customHeight="1" s="345">
      <c r="A144" s="332" t="n"/>
      <c r="B144" s="338" t="n"/>
      <c r="C144" s="332" t="n"/>
      <c r="D144" s="332" t="n"/>
      <c r="E144" s="332" t="n"/>
      <c r="F144" s="332" t="n"/>
      <c r="G144" s="332" t="n"/>
      <c r="H144" s="332" t="n"/>
      <c r="I144" s="332" t="n"/>
      <c r="J144" s="332" t="n"/>
      <c r="K144" s="332" t="n"/>
      <c r="L144" s="332" t="n"/>
      <c r="M144" s="332" t="n"/>
      <c r="N144" s="332" t="n"/>
      <c r="O144" s="332" t="n"/>
      <c r="P144" s="332" t="n"/>
      <c r="Q144" s="332" t="n"/>
      <c r="R144" s="332" t="n"/>
      <c r="S144" s="332" t="n"/>
    </row>
    <row r="145" ht="15.75" customHeight="1" s="345">
      <c r="A145" s="332" t="n"/>
      <c r="B145" s="338" t="n"/>
      <c r="C145" s="332" t="n"/>
      <c r="D145" s="332" t="n"/>
      <c r="E145" s="332" t="n"/>
      <c r="F145" s="332" t="n"/>
      <c r="G145" s="332" t="n"/>
      <c r="H145" s="332" t="n"/>
      <c r="I145" s="332" t="n"/>
      <c r="J145" s="332" t="n"/>
      <c r="K145" s="332" t="n"/>
      <c r="L145" s="332" t="n"/>
      <c r="M145" s="332" t="n"/>
      <c r="N145" s="332" t="n"/>
      <c r="O145" s="332" t="n"/>
      <c r="P145" s="332" t="n"/>
      <c r="Q145" s="332" t="n"/>
      <c r="R145" s="332" t="n"/>
      <c r="S145" s="332" t="n"/>
    </row>
    <row r="146" ht="15.75" customHeight="1" s="345">
      <c r="A146" s="332" t="n"/>
      <c r="B146" s="338" t="n"/>
      <c r="C146" s="332" t="n"/>
      <c r="D146" s="332" t="n"/>
      <c r="E146" s="332" t="n"/>
      <c r="F146" s="332" t="n"/>
      <c r="G146" s="332" t="n"/>
      <c r="H146" s="332" t="n"/>
      <c r="I146" s="332" t="n"/>
      <c r="J146" s="332" t="n"/>
      <c r="K146" s="332" t="n"/>
      <c r="L146" s="332" t="n"/>
      <c r="M146" s="332" t="n"/>
      <c r="N146" s="332" t="n"/>
      <c r="O146" s="332" t="n"/>
      <c r="P146" s="332" t="n"/>
      <c r="Q146" s="332" t="n"/>
      <c r="R146" s="332" t="n"/>
      <c r="S146" s="332" t="n"/>
    </row>
    <row r="147" ht="15.75" customHeight="1" s="345">
      <c r="A147" s="332" t="n"/>
      <c r="B147" s="338" t="n"/>
      <c r="C147" s="332" t="n"/>
      <c r="D147" s="332" t="n"/>
      <c r="E147" s="332" t="n"/>
      <c r="F147" s="332" t="n"/>
      <c r="G147" s="332" t="n"/>
      <c r="H147" s="332" t="n"/>
      <c r="I147" s="332" t="n"/>
      <c r="J147" s="332" t="n"/>
      <c r="K147" s="332" t="n"/>
      <c r="L147" s="332" t="n"/>
      <c r="M147" s="332" t="n"/>
      <c r="N147" s="332" t="n"/>
      <c r="O147" s="332" t="n"/>
      <c r="P147" s="332" t="n"/>
      <c r="Q147" s="332" t="n"/>
      <c r="R147" s="332" t="n"/>
      <c r="S147" s="332" t="n"/>
    </row>
    <row r="148" ht="15.75" customHeight="1" s="345">
      <c r="A148" s="332" t="n"/>
      <c r="B148" s="338" t="n"/>
      <c r="C148" s="332" t="n"/>
      <c r="D148" s="332" t="n"/>
      <c r="E148" s="332" t="n"/>
      <c r="F148" s="332" t="n"/>
      <c r="G148" s="332" t="n"/>
      <c r="H148" s="332" t="n"/>
      <c r="I148" s="332" t="n"/>
      <c r="J148" s="332" t="n"/>
      <c r="K148" s="332" t="n"/>
      <c r="L148" s="332" t="n"/>
      <c r="M148" s="332" t="n"/>
      <c r="N148" s="332" t="n"/>
      <c r="O148" s="332" t="n"/>
      <c r="P148" s="332" t="n"/>
      <c r="Q148" s="332" t="n"/>
      <c r="R148" s="332" t="n"/>
      <c r="S148" s="332" t="n"/>
    </row>
    <row r="149" ht="15.75" customHeight="1" s="345">
      <c r="A149" s="332" t="n"/>
      <c r="B149" s="338" t="n"/>
      <c r="C149" s="332" t="n"/>
      <c r="D149" s="332" t="n"/>
      <c r="E149" s="332" t="n"/>
      <c r="F149" s="332" t="n"/>
      <c r="G149" s="332" t="n"/>
      <c r="H149" s="332" t="n"/>
      <c r="I149" s="332" t="n"/>
      <c r="J149" s="332" t="n"/>
      <c r="K149" s="332" t="n"/>
      <c r="L149" s="332" t="n"/>
      <c r="M149" s="332" t="n"/>
      <c r="N149" s="332" t="n"/>
      <c r="O149" s="332" t="n"/>
      <c r="P149" s="332" t="n"/>
      <c r="Q149" s="332" t="n"/>
      <c r="R149" s="332" t="n"/>
      <c r="S149" s="332" t="n"/>
    </row>
    <row r="150" ht="15.75" customHeight="1" s="345">
      <c r="A150" s="332" t="n"/>
      <c r="B150" s="338" t="n"/>
      <c r="C150" s="332" t="n"/>
      <c r="D150" s="332" t="n"/>
      <c r="E150" s="332" t="n"/>
      <c r="F150" s="332" t="n"/>
      <c r="G150" s="332" t="n"/>
      <c r="H150" s="332" t="n"/>
      <c r="I150" s="332" t="n"/>
      <c r="J150" s="332" t="n"/>
      <c r="K150" s="332" t="n"/>
      <c r="L150" s="332" t="n"/>
      <c r="M150" s="332" t="n"/>
      <c r="N150" s="332" t="n"/>
      <c r="O150" s="332" t="n"/>
      <c r="P150" s="332" t="n"/>
      <c r="Q150" s="332" t="n"/>
      <c r="R150" s="332" t="n"/>
      <c r="S150" s="332" t="n"/>
    </row>
    <row r="151" ht="15.75" customHeight="1" s="345">
      <c r="A151" s="332" t="n"/>
      <c r="B151" s="338" t="n"/>
      <c r="C151" s="332" t="n"/>
      <c r="D151" s="332" t="n"/>
      <c r="E151" s="332" t="n"/>
      <c r="F151" s="332" t="n"/>
      <c r="G151" s="332" t="n"/>
      <c r="H151" s="332" t="n"/>
      <c r="I151" s="332" t="n"/>
      <c r="J151" s="332" t="n"/>
      <c r="K151" s="332" t="n"/>
      <c r="L151" s="332" t="n"/>
      <c r="M151" s="332" t="n"/>
      <c r="N151" s="332" t="n"/>
      <c r="O151" s="332" t="n"/>
      <c r="P151" s="332" t="n"/>
      <c r="Q151" s="332" t="n"/>
      <c r="R151" s="332" t="n"/>
      <c r="S151" s="332" t="n"/>
    </row>
    <row r="152" ht="15.75" customHeight="1" s="345">
      <c r="A152" s="332" t="n"/>
      <c r="B152" s="338" t="n"/>
      <c r="C152" s="332" t="n"/>
      <c r="D152" s="332" t="n"/>
      <c r="E152" s="332" t="n"/>
      <c r="F152" s="332" t="n"/>
      <c r="G152" s="332" t="n"/>
      <c r="H152" s="332" t="n"/>
      <c r="I152" s="332" t="n"/>
      <c r="J152" s="332" t="n"/>
      <c r="K152" s="332" t="n"/>
      <c r="L152" s="332" t="n"/>
      <c r="M152" s="332" t="n"/>
      <c r="N152" s="332" t="n"/>
      <c r="O152" s="332" t="n"/>
      <c r="P152" s="332" t="n"/>
      <c r="Q152" s="332" t="n"/>
      <c r="R152" s="332" t="n"/>
      <c r="S152" s="332" t="n"/>
    </row>
    <row r="153" ht="15.75" customHeight="1" s="345">
      <c r="A153" s="332" t="n"/>
      <c r="B153" s="338" t="n"/>
      <c r="C153" s="332" t="n"/>
      <c r="D153" s="332" t="n"/>
      <c r="E153" s="332" t="n"/>
      <c r="F153" s="332" t="n"/>
      <c r="G153" s="332" t="n"/>
      <c r="H153" s="332" t="n"/>
      <c r="I153" s="332" t="n"/>
      <c r="J153" s="332" t="n"/>
      <c r="K153" s="332" t="n"/>
      <c r="L153" s="332" t="n"/>
      <c r="M153" s="332" t="n"/>
      <c r="N153" s="332" t="n"/>
      <c r="O153" s="332" t="n"/>
      <c r="P153" s="332" t="n"/>
      <c r="Q153" s="332" t="n"/>
      <c r="R153" s="332" t="n"/>
      <c r="S153" s="332" t="n"/>
    </row>
    <row r="154" ht="15.75" customHeight="1" s="345">
      <c r="A154" s="332" t="n"/>
      <c r="B154" s="338" t="n"/>
      <c r="C154" s="332" t="n"/>
      <c r="D154" s="332" t="n"/>
      <c r="E154" s="332" t="n"/>
      <c r="F154" s="332" t="n"/>
      <c r="G154" s="332" t="n"/>
      <c r="H154" s="332" t="n"/>
      <c r="I154" s="332" t="n"/>
      <c r="J154" s="332" t="n"/>
      <c r="K154" s="332" t="n"/>
      <c r="L154" s="332" t="n"/>
      <c r="M154" s="332" t="n"/>
      <c r="N154" s="332" t="n"/>
      <c r="O154" s="332" t="n"/>
      <c r="P154" s="332" t="n"/>
      <c r="Q154" s="332" t="n"/>
      <c r="R154" s="332" t="n"/>
      <c r="S154" s="332" t="n"/>
    </row>
    <row r="155" ht="15.75" customHeight="1" s="345">
      <c r="A155" s="332" t="n"/>
      <c r="B155" s="338" t="n"/>
      <c r="C155" s="332" t="n"/>
      <c r="D155" s="332" t="n"/>
      <c r="E155" s="332" t="n"/>
      <c r="F155" s="332" t="n"/>
      <c r="G155" s="332" t="n"/>
      <c r="H155" s="332" t="n"/>
      <c r="I155" s="332" t="n"/>
      <c r="J155" s="332" t="n"/>
      <c r="K155" s="332" t="n"/>
      <c r="L155" s="332" t="n"/>
      <c r="M155" s="332" t="n"/>
      <c r="N155" s="332" t="n"/>
      <c r="O155" s="332" t="n"/>
      <c r="P155" s="332" t="n"/>
      <c r="Q155" s="332" t="n"/>
      <c r="R155" s="332" t="n"/>
      <c r="S155" s="332" t="n"/>
    </row>
    <row r="156" ht="15.75" customHeight="1" s="345">
      <c r="A156" s="332" t="n"/>
      <c r="B156" s="338" t="n"/>
      <c r="C156" s="332" t="n"/>
      <c r="D156" s="332" t="n"/>
      <c r="E156" s="332" t="n"/>
      <c r="F156" s="332" t="n"/>
      <c r="G156" s="332" t="n"/>
      <c r="H156" s="332" t="n"/>
      <c r="I156" s="332" t="n"/>
      <c r="J156" s="332" t="n"/>
      <c r="K156" s="332" t="n"/>
      <c r="L156" s="332" t="n"/>
      <c r="M156" s="332" t="n"/>
      <c r="N156" s="332" t="n"/>
      <c r="O156" s="332" t="n"/>
      <c r="P156" s="332" t="n"/>
      <c r="Q156" s="332" t="n"/>
      <c r="R156" s="332" t="n"/>
      <c r="S156" s="332" t="n"/>
    </row>
    <row r="157" ht="15.75" customHeight="1" s="345">
      <c r="A157" s="332" t="n"/>
      <c r="B157" s="338" t="n"/>
      <c r="C157" s="332" t="n"/>
      <c r="D157" s="332" t="n"/>
      <c r="E157" s="332" t="n"/>
      <c r="F157" s="332" t="n"/>
      <c r="G157" s="332" t="n"/>
      <c r="H157" s="332" t="n"/>
      <c r="I157" s="332" t="n"/>
      <c r="J157" s="332" t="n"/>
      <c r="K157" s="332" t="n"/>
      <c r="L157" s="332" t="n"/>
      <c r="M157" s="332" t="n"/>
      <c r="N157" s="332" t="n"/>
      <c r="O157" s="332" t="n"/>
      <c r="P157" s="332" t="n"/>
      <c r="Q157" s="332" t="n"/>
      <c r="R157" s="332" t="n"/>
      <c r="S157" s="332" t="n"/>
    </row>
    <row r="158" ht="15.75" customHeight="1" s="345">
      <c r="A158" s="332" t="n"/>
      <c r="B158" s="338" t="n"/>
      <c r="C158" s="332" t="n"/>
      <c r="D158" s="332" t="n"/>
      <c r="E158" s="332" t="n"/>
      <c r="F158" s="332" t="n"/>
      <c r="G158" s="332" t="n"/>
      <c r="H158" s="332" t="n"/>
      <c r="I158" s="332" t="n"/>
      <c r="J158" s="332" t="n"/>
      <c r="K158" s="332" t="n"/>
      <c r="L158" s="332" t="n"/>
      <c r="M158" s="332" t="n"/>
      <c r="N158" s="332" t="n"/>
      <c r="O158" s="332" t="n"/>
      <c r="P158" s="332" t="n"/>
      <c r="Q158" s="332" t="n"/>
      <c r="R158" s="332" t="n"/>
      <c r="S158" s="332" t="n"/>
    </row>
    <row r="159" ht="15.75" customHeight="1" s="345">
      <c r="A159" s="332" t="n"/>
      <c r="B159" s="338" t="n"/>
      <c r="C159" s="332" t="n"/>
      <c r="D159" s="332" t="n"/>
      <c r="E159" s="332" t="n"/>
      <c r="F159" s="332" t="n"/>
      <c r="G159" s="332" t="n"/>
      <c r="H159" s="332" t="n"/>
      <c r="I159" s="332" t="n"/>
      <c r="J159" s="332" t="n"/>
      <c r="K159" s="332" t="n"/>
      <c r="L159" s="332" t="n"/>
      <c r="M159" s="332" t="n"/>
      <c r="N159" s="332" t="n"/>
      <c r="O159" s="332" t="n"/>
      <c r="P159" s="332" t="n"/>
      <c r="Q159" s="332" t="n"/>
      <c r="R159" s="332" t="n"/>
      <c r="S159" s="332" t="n"/>
    </row>
    <row r="160" ht="15.75" customHeight="1" s="345">
      <c r="A160" s="332" t="n"/>
      <c r="B160" s="338" t="n"/>
      <c r="C160" s="332" t="n"/>
      <c r="D160" s="332" t="n"/>
      <c r="E160" s="332" t="n"/>
      <c r="F160" s="332" t="n"/>
      <c r="G160" s="332" t="n"/>
      <c r="H160" s="332" t="n"/>
      <c r="I160" s="332" t="n"/>
      <c r="J160" s="332" t="n"/>
      <c r="K160" s="332" t="n"/>
      <c r="L160" s="332" t="n"/>
      <c r="M160" s="332" t="n"/>
      <c r="N160" s="332" t="n"/>
      <c r="O160" s="332" t="n"/>
      <c r="P160" s="332" t="n"/>
      <c r="Q160" s="332" t="n"/>
      <c r="R160" s="332" t="n"/>
      <c r="S160" s="332" t="n"/>
    </row>
    <row r="161" ht="15.75" customHeight="1" s="345">
      <c r="A161" s="332" t="n"/>
      <c r="B161" s="338" t="n"/>
      <c r="C161" s="332" t="n"/>
      <c r="D161" s="332" t="n"/>
      <c r="E161" s="332" t="n"/>
      <c r="F161" s="332" t="n"/>
      <c r="G161" s="332" t="n"/>
      <c r="H161" s="332" t="n"/>
      <c r="I161" s="332" t="n"/>
      <c r="J161" s="332" t="n"/>
      <c r="K161" s="332" t="n"/>
      <c r="L161" s="332" t="n"/>
      <c r="M161" s="332" t="n"/>
      <c r="N161" s="332" t="n"/>
      <c r="O161" s="332" t="n"/>
      <c r="P161" s="332" t="n"/>
      <c r="Q161" s="332" t="n"/>
      <c r="R161" s="332" t="n"/>
      <c r="S161" s="332" t="n"/>
    </row>
    <row r="162" ht="15.75" customHeight="1" s="345">
      <c r="A162" s="332" t="n"/>
      <c r="B162" s="338" t="n"/>
      <c r="C162" s="332" t="n"/>
      <c r="D162" s="332" t="n"/>
      <c r="E162" s="332" t="n"/>
      <c r="F162" s="332" t="n"/>
      <c r="G162" s="332" t="n"/>
      <c r="H162" s="332" t="n"/>
      <c r="I162" s="332" t="n"/>
      <c r="J162" s="332" t="n"/>
      <c r="K162" s="332" t="n"/>
      <c r="L162" s="332" t="n"/>
      <c r="M162" s="332" t="n"/>
      <c r="N162" s="332" t="n"/>
      <c r="O162" s="332" t="n"/>
      <c r="P162" s="332" t="n"/>
      <c r="Q162" s="332" t="n"/>
      <c r="R162" s="332" t="n"/>
      <c r="S162" s="332" t="n"/>
    </row>
    <row r="163" ht="15.75" customHeight="1" s="345">
      <c r="A163" s="332" t="n"/>
      <c r="B163" s="338" t="n"/>
      <c r="C163" s="332" t="n"/>
      <c r="D163" s="332" t="n"/>
      <c r="E163" s="332" t="n"/>
      <c r="F163" s="332" t="n"/>
      <c r="G163" s="332" t="n"/>
      <c r="H163" s="332" t="n"/>
      <c r="I163" s="332" t="n"/>
      <c r="J163" s="332" t="n"/>
      <c r="K163" s="332" t="n"/>
      <c r="L163" s="332" t="n"/>
      <c r="M163" s="332" t="n"/>
      <c r="N163" s="332" t="n"/>
      <c r="O163" s="332" t="n"/>
      <c r="P163" s="332" t="n"/>
      <c r="Q163" s="332" t="n"/>
      <c r="R163" s="332" t="n"/>
      <c r="S163" s="332" t="n"/>
    </row>
    <row r="164" ht="15.75" customHeight="1" s="345">
      <c r="A164" s="332" t="n"/>
      <c r="B164" s="338" t="n"/>
      <c r="C164" s="332" t="n"/>
      <c r="D164" s="332" t="n"/>
      <c r="E164" s="332" t="n"/>
      <c r="F164" s="332" t="n"/>
      <c r="G164" s="332" t="n"/>
      <c r="H164" s="332" t="n"/>
      <c r="I164" s="332" t="n"/>
      <c r="J164" s="332" t="n"/>
      <c r="K164" s="332" t="n"/>
      <c r="L164" s="332" t="n"/>
      <c r="M164" s="332" t="n"/>
      <c r="N164" s="332" t="n"/>
      <c r="O164" s="332" t="n"/>
      <c r="P164" s="332" t="n"/>
      <c r="Q164" s="332" t="n"/>
      <c r="R164" s="332" t="n"/>
      <c r="S164" s="332" t="n"/>
    </row>
    <row r="165" ht="15.75" customHeight="1" s="345">
      <c r="A165" s="332" t="n"/>
      <c r="B165" s="338" t="n"/>
      <c r="C165" s="332" t="n"/>
      <c r="D165" s="332" t="n"/>
      <c r="E165" s="332" t="n"/>
      <c r="F165" s="332" t="n"/>
      <c r="G165" s="332" t="n"/>
      <c r="H165" s="332" t="n"/>
      <c r="I165" s="332" t="n"/>
      <c r="J165" s="332" t="n"/>
      <c r="K165" s="332" t="n"/>
      <c r="L165" s="332" t="n"/>
      <c r="M165" s="332" t="n"/>
      <c r="N165" s="332" t="n"/>
      <c r="O165" s="332" t="n"/>
      <c r="P165" s="332" t="n"/>
      <c r="Q165" s="332" t="n"/>
      <c r="R165" s="332" t="n"/>
      <c r="S165" s="332" t="n"/>
    </row>
    <row r="166" ht="15.75" customHeight="1" s="345">
      <c r="A166" s="332" t="n"/>
      <c r="B166" s="338" t="n"/>
      <c r="C166" s="332" t="n"/>
      <c r="D166" s="332" t="n"/>
      <c r="E166" s="332" t="n"/>
      <c r="F166" s="332" t="n"/>
      <c r="G166" s="332" t="n"/>
      <c r="H166" s="332" t="n"/>
      <c r="I166" s="332" t="n"/>
      <c r="J166" s="332" t="n"/>
      <c r="K166" s="332" t="n"/>
      <c r="L166" s="332" t="n"/>
      <c r="M166" s="332" t="n"/>
      <c r="N166" s="332" t="n"/>
      <c r="O166" s="332" t="n"/>
      <c r="P166" s="332" t="n"/>
      <c r="Q166" s="332" t="n"/>
      <c r="R166" s="332" t="n"/>
      <c r="S166" s="332" t="n"/>
    </row>
    <row r="167" ht="15.75" customHeight="1" s="345">
      <c r="A167" s="332" t="n"/>
      <c r="B167" s="338" t="n"/>
      <c r="C167" s="332" t="n"/>
      <c r="D167" s="332" t="n"/>
      <c r="E167" s="332" t="n"/>
      <c r="F167" s="332" t="n"/>
      <c r="G167" s="332" t="n"/>
      <c r="H167" s="332" t="n"/>
      <c r="I167" s="332" t="n"/>
      <c r="J167" s="332" t="n"/>
      <c r="K167" s="332" t="n"/>
      <c r="L167" s="332" t="n"/>
      <c r="M167" s="332" t="n"/>
      <c r="N167" s="332" t="n"/>
      <c r="O167" s="332" t="n"/>
      <c r="P167" s="332" t="n"/>
      <c r="Q167" s="332" t="n"/>
      <c r="R167" s="332" t="n"/>
      <c r="S167" s="332" t="n"/>
    </row>
    <row r="168" ht="15.75" customHeight="1" s="345">
      <c r="A168" s="332" t="n"/>
      <c r="B168" s="338" t="n"/>
      <c r="C168" s="332" t="n"/>
      <c r="D168" s="332" t="n"/>
      <c r="E168" s="332" t="n"/>
      <c r="F168" s="332" t="n"/>
      <c r="G168" s="332" t="n"/>
      <c r="H168" s="332" t="n"/>
      <c r="I168" s="332" t="n"/>
      <c r="J168" s="332" t="n"/>
      <c r="K168" s="332" t="n"/>
      <c r="L168" s="332" t="n"/>
      <c r="M168" s="332" t="n"/>
      <c r="N168" s="332" t="n"/>
      <c r="O168" s="332" t="n"/>
      <c r="P168" s="332" t="n"/>
      <c r="Q168" s="332" t="n"/>
      <c r="R168" s="332" t="n"/>
      <c r="S168" s="332" t="n"/>
    </row>
    <row r="169" ht="15.75" customHeight="1" s="345">
      <c r="A169" s="332" t="n"/>
      <c r="B169" s="338" t="n"/>
      <c r="C169" s="332" t="n"/>
      <c r="D169" s="332" t="n"/>
      <c r="E169" s="332" t="n"/>
      <c r="F169" s="332" t="n"/>
      <c r="G169" s="332" t="n"/>
      <c r="H169" s="332" t="n"/>
      <c r="I169" s="332" t="n"/>
      <c r="J169" s="332" t="n"/>
      <c r="K169" s="332" t="n"/>
      <c r="L169" s="332" t="n"/>
      <c r="M169" s="332" t="n"/>
      <c r="N169" s="332" t="n"/>
      <c r="O169" s="332" t="n"/>
      <c r="P169" s="332" t="n"/>
      <c r="Q169" s="332" t="n"/>
      <c r="R169" s="332" t="n"/>
      <c r="S169" s="332" t="n"/>
    </row>
    <row r="170" ht="15.75" customHeight="1" s="345">
      <c r="A170" s="332" t="n"/>
      <c r="B170" s="338" t="n"/>
      <c r="C170" s="332" t="n"/>
      <c r="D170" s="332" t="n"/>
      <c r="E170" s="332" t="n"/>
      <c r="F170" s="332" t="n"/>
      <c r="G170" s="332" t="n"/>
      <c r="H170" s="332" t="n"/>
      <c r="I170" s="332" t="n"/>
      <c r="J170" s="332" t="n"/>
      <c r="K170" s="332" t="n"/>
      <c r="L170" s="332" t="n"/>
      <c r="M170" s="332" t="n"/>
      <c r="N170" s="332" t="n"/>
      <c r="O170" s="332" t="n"/>
      <c r="P170" s="332" t="n"/>
      <c r="Q170" s="332" t="n"/>
      <c r="R170" s="332" t="n"/>
      <c r="S170" s="332" t="n"/>
    </row>
    <row r="171" ht="15.75" customHeight="1" s="345">
      <c r="A171" s="332" t="n"/>
      <c r="B171" s="338" t="n"/>
      <c r="C171" s="332" t="n"/>
      <c r="D171" s="332" t="n"/>
      <c r="E171" s="332" t="n"/>
      <c r="F171" s="332" t="n"/>
      <c r="G171" s="332" t="n"/>
      <c r="H171" s="332" t="n"/>
      <c r="I171" s="332" t="n"/>
      <c r="J171" s="332" t="n"/>
      <c r="K171" s="332" t="n"/>
      <c r="L171" s="332" t="n"/>
      <c r="M171" s="332" t="n"/>
      <c r="N171" s="332" t="n"/>
      <c r="O171" s="332" t="n"/>
      <c r="P171" s="332" t="n"/>
      <c r="Q171" s="332" t="n"/>
      <c r="R171" s="332" t="n"/>
      <c r="S171" s="332" t="n"/>
    </row>
    <row r="172" ht="15.75" customHeight="1" s="345">
      <c r="A172" s="332" t="n"/>
      <c r="B172" s="338" t="n"/>
      <c r="C172" s="332" t="n"/>
      <c r="D172" s="332" t="n"/>
      <c r="E172" s="332" t="n"/>
      <c r="F172" s="332" t="n"/>
      <c r="G172" s="332" t="n"/>
      <c r="H172" s="332" t="n"/>
      <c r="I172" s="332" t="n"/>
      <c r="J172" s="332" t="n"/>
      <c r="K172" s="332" t="n"/>
      <c r="L172" s="332" t="n"/>
      <c r="M172" s="332" t="n"/>
      <c r="N172" s="332" t="n"/>
      <c r="O172" s="332" t="n"/>
      <c r="P172" s="332" t="n"/>
      <c r="Q172" s="332" t="n"/>
      <c r="R172" s="332" t="n"/>
      <c r="S172" s="332" t="n"/>
    </row>
    <row r="173" ht="15.75" customHeight="1" s="345">
      <c r="A173" s="332" t="n"/>
      <c r="B173" s="338" t="n"/>
      <c r="C173" s="332" t="n"/>
      <c r="D173" s="332" t="n"/>
      <c r="E173" s="332" t="n"/>
      <c r="F173" s="332" t="n"/>
      <c r="G173" s="332" t="n"/>
      <c r="H173" s="332" t="n"/>
      <c r="I173" s="332" t="n"/>
      <c r="J173" s="332" t="n"/>
      <c r="K173" s="332" t="n"/>
      <c r="L173" s="332" t="n"/>
      <c r="M173" s="332" t="n"/>
      <c r="N173" s="332" t="n"/>
      <c r="O173" s="332" t="n"/>
      <c r="P173" s="332" t="n"/>
      <c r="Q173" s="332" t="n"/>
      <c r="R173" s="332" t="n"/>
      <c r="S173" s="332" t="n"/>
    </row>
    <row r="174" ht="15.75" customHeight="1" s="345">
      <c r="A174" s="332" t="n"/>
      <c r="B174" s="338" t="n"/>
      <c r="C174" s="332" t="n"/>
      <c r="D174" s="332" t="n"/>
      <c r="E174" s="332" t="n"/>
      <c r="F174" s="332" t="n"/>
      <c r="G174" s="332" t="n"/>
      <c r="H174" s="332" t="n"/>
      <c r="I174" s="332" t="n"/>
      <c r="J174" s="332" t="n"/>
      <c r="K174" s="332" t="n"/>
      <c r="L174" s="332" t="n"/>
      <c r="M174" s="332" t="n"/>
      <c r="N174" s="332" t="n"/>
      <c r="O174" s="332" t="n"/>
      <c r="P174" s="332" t="n"/>
      <c r="Q174" s="332" t="n"/>
      <c r="R174" s="332" t="n"/>
      <c r="S174" s="332" t="n"/>
    </row>
    <row r="175" ht="15.75" customHeight="1" s="345">
      <c r="A175" s="332" t="n"/>
      <c r="B175" s="338" t="n"/>
      <c r="C175" s="332" t="n"/>
      <c r="D175" s="332" t="n"/>
      <c r="E175" s="332" t="n"/>
      <c r="F175" s="332" t="n"/>
      <c r="G175" s="332" t="n"/>
      <c r="H175" s="332" t="n"/>
      <c r="I175" s="332" t="n"/>
      <c r="J175" s="332" t="n"/>
      <c r="K175" s="332" t="n"/>
      <c r="L175" s="332" t="n"/>
      <c r="M175" s="332" t="n"/>
      <c r="N175" s="332" t="n"/>
      <c r="O175" s="332" t="n"/>
      <c r="P175" s="332" t="n"/>
      <c r="Q175" s="332" t="n"/>
      <c r="R175" s="332" t="n"/>
      <c r="S175" s="332" t="n"/>
    </row>
    <row r="176" ht="15.75" customHeight="1" s="345">
      <c r="A176" s="332" t="n"/>
      <c r="B176" s="338" t="n"/>
      <c r="C176" s="332" t="n"/>
      <c r="D176" s="332" t="n"/>
      <c r="E176" s="332" t="n"/>
      <c r="F176" s="332" t="n"/>
      <c r="G176" s="332" t="n"/>
      <c r="H176" s="332" t="n"/>
      <c r="I176" s="332" t="n"/>
      <c r="J176" s="332" t="n"/>
      <c r="K176" s="332" t="n"/>
      <c r="L176" s="332" t="n"/>
      <c r="M176" s="332" t="n"/>
      <c r="N176" s="332" t="n"/>
      <c r="O176" s="332" t="n"/>
      <c r="P176" s="332" t="n"/>
      <c r="Q176" s="332" t="n"/>
      <c r="R176" s="332" t="n"/>
      <c r="S176" s="332" t="n"/>
    </row>
    <row r="177" ht="15.75" customHeight="1" s="345">
      <c r="A177" s="332" t="n"/>
      <c r="B177" s="338" t="n"/>
      <c r="C177" s="332" t="n"/>
      <c r="D177" s="332" t="n"/>
      <c r="E177" s="332" t="n"/>
      <c r="F177" s="332" t="n"/>
      <c r="G177" s="332" t="n"/>
      <c r="H177" s="332" t="n"/>
      <c r="I177" s="332" t="n"/>
      <c r="J177" s="332" t="n"/>
      <c r="K177" s="332" t="n"/>
      <c r="L177" s="332" t="n"/>
      <c r="M177" s="332" t="n"/>
      <c r="N177" s="332" t="n"/>
      <c r="O177" s="332" t="n"/>
      <c r="P177" s="332" t="n"/>
      <c r="Q177" s="332" t="n"/>
      <c r="R177" s="332" t="n"/>
      <c r="S177" s="332" t="n"/>
    </row>
    <row r="178" ht="15.75" customHeight="1" s="345">
      <c r="A178" s="332" t="n"/>
      <c r="B178" s="338" t="n"/>
      <c r="C178" s="332" t="n"/>
      <c r="D178" s="332" t="n"/>
      <c r="E178" s="332" t="n"/>
      <c r="F178" s="332" t="n"/>
      <c r="G178" s="332" t="n"/>
      <c r="H178" s="332" t="n"/>
      <c r="I178" s="332" t="n"/>
      <c r="J178" s="332" t="n"/>
      <c r="K178" s="332" t="n"/>
      <c r="L178" s="332" t="n"/>
      <c r="M178" s="332" t="n"/>
      <c r="N178" s="332" t="n"/>
      <c r="O178" s="332" t="n"/>
      <c r="P178" s="332" t="n"/>
      <c r="Q178" s="332" t="n"/>
      <c r="R178" s="332" t="n"/>
      <c r="S178" s="332" t="n"/>
    </row>
    <row r="179" ht="15.75" customHeight="1" s="345">
      <c r="A179" s="332" t="n"/>
      <c r="B179" s="338" t="n"/>
      <c r="C179" s="332" t="n"/>
      <c r="D179" s="332" t="n"/>
      <c r="E179" s="332" t="n"/>
      <c r="F179" s="332" t="n"/>
      <c r="G179" s="332" t="n"/>
      <c r="H179" s="332" t="n"/>
      <c r="I179" s="332" t="n"/>
      <c r="J179" s="332" t="n"/>
      <c r="K179" s="332" t="n"/>
      <c r="L179" s="332" t="n"/>
      <c r="M179" s="332" t="n"/>
      <c r="N179" s="332" t="n"/>
      <c r="O179" s="332" t="n"/>
      <c r="P179" s="332" t="n"/>
      <c r="Q179" s="332" t="n"/>
      <c r="R179" s="332" t="n"/>
      <c r="S179" s="332" t="n"/>
    </row>
    <row r="180" ht="15.75" customHeight="1" s="345">
      <c r="A180" s="332" t="n"/>
      <c r="B180" s="338" t="n"/>
      <c r="C180" s="332" t="n"/>
      <c r="D180" s="332" t="n"/>
      <c r="E180" s="332" t="n"/>
      <c r="F180" s="332" t="n"/>
      <c r="G180" s="332" t="n"/>
      <c r="H180" s="332" t="n"/>
      <c r="I180" s="332" t="n"/>
      <c r="J180" s="332" t="n"/>
      <c r="K180" s="332" t="n"/>
      <c r="L180" s="332" t="n"/>
      <c r="M180" s="332" t="n"/>
      <c r="N180" s="332" t="n"/>
      <c r="O180" s="332" t="n"/>
      <c r="P180" s="332" t="n"/>
      <c r="Q180" s="332" t="n"/>
      <c r="R180" s="332" t="n"/>
      <c r="S180" s="332" t="n"/>
    </row>
    <row r="181" ht="15.75" customHeight="1" s="345">
      <c r="A181" s="332" t="n"/>
      <c r="B181" s="338" t="n"/>
      <c r="C181" s="332" t="n"/>
      <c r="D181" s="332" t="n"/>
      <c r="E181" s="332" t="n"/>
      <c r="F181" s="332" t="n"/>
      <c r="G181" s="332" t="n"/>
      <c r="H181" s="332" t="n"/>
      <c r="I181" s="332" t="n"/>
      <c r="J181" s="332" t="n"/>
      <c r="K181" s="332" t="n"/>
      <c r="L181" s="332" t="n"/>
      <c r="M181" s="332" t="n"/>
      <c r="N181" s="332" t="n"/>
      <c r="O181" s="332" t="n"/>
      <c r="P181" s="332" t="n"/>
      <c r="Q181" s="332" t="n"/>
      <c r="R181" s="332" t="n"/>
      <c r="S181" s="332" t="n"/>
    </row>
    <row r="182" ht="15.75" customHeight="1" s="345">
      <c r="A182" s="332" t="n"/>
      <c r="B182" s="338" t="n"/>
      <c r="C182" s="332" t="n"/>
      <c r="D182" s="332" t="n"/>
      <c r="E182" s="332" t="n"/>
      <c r="F182" s="332" t="n"/>
      <c r="G182" s="332" t="n"/>
      <c r="H182" s="332" t="n"/>
      <c r="I182" s="332" t="n"/>
      <c r="J182" s="332" t="n"/>
      <c r="K182" s="332" t="n"/>
      <c r="L182" s="332" t="n"/>
      <c r="M182" s="332" t="n"/>
      <c r="N182" s="332" t="n"/>
      <c r="O182" s="332" t="n"/>
      <c r="P182" s="332" t="n"/>
      <c r="Q182" s="332" t="n"/>
      <c r="R182" s="332" t="n"/>
      <c r="S182" s="332" t="n"/>
    </row>
    <row r="183" ht="15.75" customHeight="1" s="345">
      <c r="A183" s="332" t="n"/>
      <c r="B183" s="338" t="n"/>
      <c r="C183" s="332" t="n"/>
      <c r="D183" s="332" t="n"/>
      <c r="E183" s="332" t="n"/>
      <c r="F183" s="332" t="n"/>
      <c r="G183" s="332" t="n"/>
      <c r="H183" s="332" t="n"/>
      <c r="I183" s="332" t="n"/>
      <c r="J183" s="332" t="n"/>
      <c r="K183" s="332" t="n"/>
      <c r="L183" s="332" t="n"/>
      <c r="M183" s="332" t="n"/>
      <c r="N183" s="332" t="n"/>
      <c r="O183" s="332" t="n"/>
      <c r="P183" s="332" t="n"/>
      <c r="Q183" s="332" t="n"/>
      <c r="R183" s="332" t="n"/>
      <c r="S183" s="332" t="n"/>
    </row>
    <row r="184" ht="15.75" customHeight="1" s="345">
      <c r="A184" s="332" t="n"/>
      <c r="B184" s="338" t="n"/>
      <c r="C184" s="332" t="n"/>
      <c r="D184" s="332" t="n"/>
      <c r="E184" s="332" t="n"/>
      <c r="F184" s="332" t="n"/>
      <c r="G184" s="332" t="n"/>
      <c r="H184" s="332" t="n"/>
      <c r="I184" s="332" t="n"/>
      <c r="J184" s="332" t="n"/>
      <c r="K184" s="332" t="n"/>
      <c r="L184" s="332" t="n"/>
      <c r="M184" s="332" t="n"/>
      <c r="N184" s="332" t="n"/>
      <c r="O184" s="332" t="n"/>
      <c r="P184" s="332" t="n"/>
      <c r="Q184" s="332" t="n"/>
      <c r="R184" s="332" t="n"/>
      <c r="S184" s="332" t="n"/>
    </row>
    <row r="185" ht="15.75" customHeight="1" s="345">
      <c r="A185" s="332" t="n"/>
      <c r="B185" s="338" t="n"/>
      <c r="C185" s="332" t="n"/>
      <c r="D185" s="332" t="n"/>
      <c r="E185" s="332" t="n"/>
      <c r="F185" s="332" t="n"/>
      <c r="G185" s="332" t="n"/>
      <c r="H185" s="332" t="n"/>
      <c r="I185" s="332" t="n"/>
      <c r="J185" s="332" t="n"/>
      <c r="K185" s="332" t="n"/>
      <c r="L185" s="332" t="n"/>
      <c r="M185" s="332" t="n"/>
      <c r="N185" s="332" t="n"/>
      <c r="O185" s="332" t="n"/>
      <c r="P185" s="332" t="n"/>
      <c r="Q185" s="332" t="n"/>
      <c r="R185" s="332" t="n"/>
      <c r="S185" s="332" t="n"/>
    </row>
    <row r="186" ht="15.75" customHeight="1" s="345">
      <c r="A186" s="332" t="n"/>
      <c r="B186" s="338" t="n"/>
      <c r="C186" s="332" t="n"/>
      <c r="D186" s="332" t="n"/>
      <c r="E186" s="332" t="n"/>
      <c r="F186" s="332" t="n"/>
      <c r="G186" s="332" t="n"/>
      <c r="H186" s="332" t="n"/>
      <c r="I186" s="332" t="n"/>
      <c r="J186" s="332" t="n"/>
      <c r="K186" s="332" t="n"/>
      <c r="L186" s="332" t="n"/>
      <c r="M186" s="332" t="n"/>
      <c r="N186" s="332" t="n"/>
      <c r="O186" s="332" t="n"/>
      <c r="P186" s="332" t="n"/>
      <c r="Q186" s="332" t="n"/>
      <c r="R186" s="332" t="n"/>
      <c r="S186" s="332" t="n"/>
    </row>
    <row r="187" ht="15.75" customHeight="1" s="345">
      <c r="A187" s="332" t="n"/>
      <c r="B187" s="338" t="n"/>
      <c r="C187" s="332" t="n"/>
      <c r="D187" s="332" t="n"/>
      <c r="E187" s="332" t="n"/>
      <c r="F187" s="332" t="n"/>
      <c r="G187" s="332" t="n"/>
      <c r="H187" s="332" t="n"/>
      <c r="I187" s="332" t="n"/>
      <c r="J187" s="332" t="n"/>
      <c r="K187" s="332" t="n"/>
      <c r="L187" s="332" t="n"/>
      <c r="M187" s="332" t="n"/>
      <c r="N187" s="332" t="n"/>
      <c r="O187" s="332" t="n"/>
      <c r="P187" s="332" t="n"/>
      <c r="Q187" s="332" t="n"/>
      <c r="R187" s="332" t="n"/>
      <c r="S187" s="332" t="n"/>
    </row>
    <row r="188" ht="15.75" customHeight="1" s="345">
      <c r="A188" s="332" t="n"/>
      <c r="B188" s="338" t="n"/>
      <c r="C188" s="332" t="n"/>
      <c r="D188" s="332" t="n"/>
      <c r="E188" s="332" t="n"/>
      <c r="F188" s="332" t="n"/>
      <c r="G188" s="332" t="n"/>
      <c r="H188" s="332" t="n"/>
      <c r="I188" s="332" t="n"/>
      <c r="J188" s="332" t="n"/>
      <c r="K188" s="332" t="n"/>
      <c r="L188" s="332" t="n"/>
      <c r="M188" s="332" t="n"/>
      <c r="N188" s="332" t="n"/>
      <c r="O188" s="332" t="n"/>
      <c r="P188" s="332" t="n"/>
      <c r="Q188" s="332" t="n"/>
      <c r="R188" s="332" t="n"/>
      <c r="S188" s="332" t="n"/>
    </row>
    <row r="189" ht="15.75" customHeight="1" s="345">
      <c r="A189" s="332" t="n"/>
      <c r="B189" s="338" t="n"/>
      <c r="C189" s="332" t="n"/>
      <c r="D189" s="332" t="n"/>
      <c r="E189" s="332" t="n"/>
      <c r="F189" s="332" t="n"/>
      <c r="G189" s="332" t="n"/>
      <c r="H189" s="332" t="n"/>
      <c r="I189" s="332" t="n"/>
      <c r="J189" s="332" t="n"/>
      <c r="K189" s="332" t="n"/>
      <c r="L189" s="332" t="n"/>
      <c r="M189" s="332" t="n"/>
      <c r="N189" s="332" t="n"/>
      <c r="O189" s="332" t="n"/>
      <c r="P189" s="332" t="n"/>
      <c r="Q189" s="332" t="n"/>
      <c r="R189" s="332" t="n"/>
      <c r="S189" s="332" t="n"/>
    </row>
    <row r="190" ht="15.75" customHeight="1" s="345">
      <c r="A190" s="332" t="n"/>
      <c r="B190" s="338" t="n"/>
      <c r="C190" s="332" t="n"/>
      <c r="D190" s="332" t="n"/>
      <c r="E190" s="332" t="n"/>
      <c r="F190" s="332" t="n"/>
      <c r="G190" s="332" t="n"/>
      <c r="H190" s="332" t="n"/>
      <c r="I190" s="332" t="n"/>
      <c r="J190" s="332" t="n"/>
      <c r="K190" s="332" t="n"/>
      <c r="L190" s="332" t="n"/>
      <c r="M190" s="332" t="n"/>
      <c r="N190" s="332" t="n"/>
      <c r="O190" s="332" t="n"/>
      <c r="P190" s="332" t="n"/>
      <c r="Q190" s="332" t="n"/>
      <c r="R190" s="332" t="n"/>
      <c r="S190" s="332" t="n"/>
    </row>
    <row r="191" ht="15.75" customHeight="1" s="345">
      <c r="A191" s="332" t="n"/>
      <c r="B191" s="338" t="n"/>
      <c r="C191" s="332" t="n"/>
      <c r="D191" s="332" t="n"/>
      <c r="E191" s="332" t="n"/>
      <c r="F191" s="332" t="n"/>
      <c r="G191" s="332" t="n"/>
      <c r="H191" s="332" t="n"/>
      <c r="I191" s="332" t="n"/>
      <c r="J191" s="332" t="n"/>
      <c r="K191" s="332" t="n"/>
      <c r="L191" s="332" t="n"/>
      <c r="M191" s="332" t="n"/>
      <c r="N191" s="332" t="n"/>
      <c r="O191" s="332" t="n"/>
      <c r="P191" s="332" t="n"/>
      <c r="Q191" s="332" t="n"/>
      <c r="R191" s="332" t="n"/>
      <c r="S191" s="332" t="n"/>
    </row>
    <row r="192" ht="15.75" customHeight="1" s="345">
      <c r="A192" s="332" t="n"/>
      <c r="B192" s="338" t="n"/>
      <c r="C192" s="332" t="n"/>
      <c r="D192" s="332" t="n"/>
      <c r="E192" s="332" t="n"/>
      <c r="F192" s="332" t="n"/>
      <c r="G192" s="332" t="n"/>
      <c r="H192" s="332" t="n"/>
      <c r="I192" s="332" t="n"/>
      <c r="J192" s="332" t="n"/>
      <c r="K192" s="332" t="n"/>
      <c r="L192" s="332" t="n"/>
      <c r="M192" s="332" t="n"/>
      <c r="N192" s="332" t="n"/>
      <c r="O192" s="332" t="n"/>
      <c r="P192" s="332" t="n"/>
      <c r="Q192" s="332" t="n"/>
      <c r="R192" s="332" t="n"/>
      <c r="S192" s="332" t="n"/>
    </row>
    <row r="193" ht="15.75" customHeight="1" s="345">
      <c r="A193" s="332" t="n"/>
      <c r="B193" s="338" t="n"/>
      <c r="C193" s="332" t="n"/>
      <c r="D193" s="332" t="n"/>
      <c r="E193" s="332" t="n"/>
      <c r="F193" s="332" t="n"/>
      <c r="G193" s="332" t="n"/>
      <c r="H193" s="332" t="n"/>
      <c r="I193" s="332" t="n"/>
      <c r="J193" s="332" t="n"/>
      <c r="K193" s="332" t="n"/>
      <c r="L193" s="332" t="n"/>
      <c r="M193" s="332" t="n"/>
      <c r="N193" s="332" t="n"/>
      <c r="O193" s="332" t="n"/>
      <c r="P193" s="332" t="n"/>
      <c r="Q193" s="332" t="n"/>
      <c r="R193" s="332" t="n"/>
      <c r="S193" s="332" t="n"/>
    </row>
    <row r="194" ht="15.75" customHeight="1" s="345">
      <c r="A194" s="332" t="n"/>
      <c r="B194" s="338" t="n"/>
      <c r="C194" s="332" t="n"/>
      <c r="D194" s="332" t="n"/>
      <c r="E194" s="332" t="n"/>
      <c r="F194" s="332" t="n"/>
      <c r="G194" s="332" t="n"/>
      <c r="H194" s="332" t="n"/>
      <c r="I194" s="332" t="n"/>
      <c r="J194" s="332" t="n"/>
      <c r="K194" s="332" t="n"/>
      <c r="L194" s="332" t="n"/>
      <c r="M194" s="332" t="n"/>
      <c r="N194" s="332" t="n"/>
      <c r="O194" s="332" t="n"/>
      <c r="P194" s="332" t="n"/>
      <c r="Q194" s="332" t="n"/>
      <c r="R194" s="332" t="n"/>
      <c r="S194" s="332" t="n"/>
    </row>
    <row r="195" ht="15.75" customHeight="1" s="345">
      <c r="A195" s="332" t="n"/>
      <c r="B195" s="338" t="n"/>
      <c r="C195" s="332" t="n"/>
      <c r="D195" s="332" t="n"/>
      <c r="E195" s="332" t="n"/>
      <c r="F195" s="332" t="n"/>
      <c r="G195" s="332" t="n"/>
      <c r="H195" s="332" t="n"/>
      <c r="I195" s="332" t="n"/>
      <c r="J195" s="332" t="n"/>
      <c r="K195" s="332" t="n"/>
      <c r="L195" s="332" t="n"/>
      <c r="M195" s="332" t="n"/>
      <c r="N195" s="332" t="n"/>
      <c r="O195" s="332" t="n"/>
      <c r="P195" s="332" t="n"/>
      <c r="Q195" s="332" t="n"/>
      <c r="R195" s="332" t="n"/>
      <c r="S195" s="332" t="n"/>
    </row>
    <row r="196" ht="15.75" customHeight="1" s="345">
      <c r="A196" s="332" t="n"/>
      <c r="B196" s="338" t="n"/>
      <c r="C196" s="332" t="n"/>
      <c r="D196" s="332" t="n"/>
      <c r="E196" s="332" t="n"/>
      <c r="F196" s="332" t="n"/>
      <c r="G196" s="332" t="n"/>
      <c r="H196" s="332" t="n"/>
      <c r="I196" s="332" t="n"/>
      <c r="J196" s="332" t="n"/>
      <c r="K196" s="332" t="n"/>
      <c r="L196" s="332" t="n"/>
      <c r="M196" s="332" t="n"/>
      <c r="N196" s="332" t="n"/>
      <c r="O196" s="332" t="n"/>
      <c r="P196" s="332" t="n"/>
      <c r="Q196" s="332" t="n"/>
      <c r="R196" s="332" t="n"/>
      <c r="S196" s="332" t="n"/>
    </row>
    <row r="197" ht="15.75" customHeight="1" s="345">
      <c r="A197" s="332" t="n"/>
      <c r="B197" s="338" t="n"/>
      <c r="C197" s="332" t="n"/>
      <c r="D197" s="332" t="n"/>
      <c r="E197" s="332" t="n"/>
      <c r="F197" s="332" t="n"/>
      <c r="G197" s="332" t="n"/>
      <c r="H197" s="332" t="n"/>
      <c r="I197" s="332" t="n"/>
      <c r="J197" s="332" t="n"/>
      <c r="K197" s="332" t="n"/>
      <c r="L197" s="332" t="n"/>
      <c r="M197" s="332" t="n"/>
      <c r="N197" s="332" t="n"/>
      <c r="O197" s="332" t="n"/>
      <c r="P197" s="332" t="n"/>
      <c r="Q197" s="332" t="n"/>
      <c r="R197" s="332" t="n"/>
      <c r="S197" s="332" t="n"/>
    </row>
    <row r="198" ht="15.75" customHeight="1" s="345">
      <c r="A198" s="332" t="n"/>
      <c r="B198" s="338" t="n"/>
      <c r="C198" s="332" t="n"/>
      <c r="D198" s="332" t="n"/>
      <c r="E198" s="332" t="n"/>
      <c r="F198" s="332" t="n"/>
      <c r="G198" s="332" t="n"/>
      <c r="H198" s="332" t="n"/>
      <c r="I198" s="332" t="n"/>
      <c r="J198" s="332" t="n"/>
      <c r="K198" s="332" t="n"/>
      <c r="L198" s="332" t="n"/>
      <c r="M198" s="332" t="n"/>
      <c r="N198" s="332" t="n"/>
      <c r="O198" s="332" t="n"/>
      <c r="P198" s="332" t="n"/>
      <c r="Q198" s="332" t="n"/>
      <c r="R198" s="332" t="n"/>
      <c r="S198" s="332" t="n"/>
    </row>
    <row r="199" ht="15.75" customHeight="1" s="345">
      <c r="A199" s="332" t="n"/>
      <c r="B199" s="338" t="n"/>
      <c r="C199" s="332" t="n"/>
      <c r="D199" s="332" t="n"/>
      <c r="E199" s="332" t="n"/>
      <c r="F199" s="332" t="n"/>
      <c r="G199" s="332" t="n"/>
      <c r="H199" s="332" t="n"/>
      <c r="I199" s="332" t="n"/>
      <c r="J199" s="332" t="n"/>
      <c r="K199" s="332" t="n"/>
      <c r="L199" s="332" t="n"/>
      <c r="M199" s="332" t="n"/>
      <c r="N199" s="332" t="n"/>
      <c r="O199" s="332" t="n"/>
      <c r="P199" s="332" t="n"/>
      <c r="Q199" s="332" t="n"/>
      <c r="R199" s="332" t="n"/>
      <c r="S199" s="332" t="n"/>
    </row>
    <row r="200" ht="15.75" customHeight="1" s="345">
      <c r="A200" s="332" t="n"/>
      <c r="B200" s="338" t="n"/>
      <c r="C200" s="332" t="n"/>
      <c r="D200" s="332" t="n"/>
      <c r="E200" s="332" t="n"/>
      <c r="F200" s="332" t="n"/>
      <c r="G200" s="332" t="n"/>
      <c r="H200" s="332" t="n"/>
      <c r="I200" s="332" t="n"/>
      <c r="J200" s="332" t="n"/>
      <c r="K200" s="332" t="n"/>
      <c r="L200" s="332" t="n"/>
      <c r="M200" s="332" t="n"/>
      <c r="N200" s="332" t="n"/>
      <c r="O200" s="332" t="n"/>
      <c r="P200" s="332" t="n"/>
      <c r="Q200" s="332" t="n"/>
      <c r="R200" s="332" t="n"/>
      <c r="S200" s="332" t="n"/>
    </row>
    <row r="201" ht="15.75" customHeight="1" s="345">
      <c r="A201" s="332" t="n"/>
      <c r="B201" s="338" t="n"/>
      <c r="C201" s="332" t="n"/>
      <c r="D201" s="332" t="n"/>
      <c r="E201" s="332" t="n"/>
      <c r="F201" s="332" t="n"/>
      <c r="G201" s="332" t="n"/>
      <c r="H201" s="332" t="n"/>
      <c r="I201" s="332" t="n"/>
      <c r="J201" s="332" t="n"/>
      <c r="K201" s="332" t="n"/>
      <c r="L201" s="332" t="n"/>
      <c r="M201" s="332" t="n"/>
      <c r="N201" s="332" t="n"/>
      <c r="O201" s="332" t="n"/>
      <c r="P201" s="332" t="n"/>
      <c r="Q201" s="332" t="n"/>
      <c r="R201" s="332" t="n"/>
      <c r="S201" s="332" t="n"/>
    </row>
    <row r="202" ht="15.75" customHeight="1" s="345">
      <c r="A202" s="332" t="n"/>
      <c r="B202" s="338" t="n"/>
      <c r="C202" s="332" t="n"/>
      <c r="D202" s="332" t="n"/>
      <c r="E202" s="332" t="n"/>
      <c r="F202" s="332" t="n"/>
      <c r="G202" s="332" t="n"/>
      <c r="H202" s="332" t="n"/>
      <c r="I202" s="332" t="n"/>
      <c r="J202" s="332" t="n"/>
      <c r="K202" s="332" t="n"/>
      <c r="L202" s="332" t="n"/>
      <c r="M202" s="332" t="n"/>
      <c r="N202" s="332" t="n"/>
      <c r="O202" s="332" t="n"/>
      <c r="P202" s="332" t="n"/>
      <c r="Q202" s="332" t="n"/>
      <c r="R202" s="332" t="n"/>
      <c r="S202" s="332" t="n"/>
    </row>
    <row r="203" ht="15.75" customHeight="1" s="345">
      <c r="A203" s="332" t="n"/>
      <c r="B203" s="338" t="n"/>
      <c r="C203" s="332" t="n"/>
      <c r="D203" s="332" t="n"/>
      <c r="E203" s="332" t="n"/>
      <c r="F203" s="332" t="n"/>
      <c r="G203" s="332" t="n"/>
      <c r="H203" s="332" t="n"/>
      <c r="I203" s="332" t="n"/>
      <c r="J203" s="332" t="n"/>
      <c r="K203" s="332" t="n"/>
      <c r="L203" s="332" t="n"/>
      <c r="M203" s="332" t="n"/>
      <c r="N203" s="332" t="n"/>
      <c r="O203" s="332" t="n"/>
      <c r="P203" s="332" t="n"/>
      <c r="Q203" s="332" t="n"/>
      <c r="R203" s="332" t="n"/>
      <c r="S203" s="332" t="n"/>
    </row>
    <row r="204" ht="15.75" customHeight="1" s="345">
      <c r="A204" s="332" t="n"/>
      <c r="B204" s="338" t="n"/>
      <c r="C204" s="332" t="n"/>
      <c r="D204" s="332" t="n"/>
      <c r="E204" s="332" t="n"/>
      <c r="F204" s="332" t="n"/>
      <c r="G204" s="332" t="n"/>
      <c r="H204" s="332" t="n"/>
      <c r="I204" s="332" t="n"/>
      <c r="J204" s="332" t="n"/>
      <c r="K204" s="332" t="n"/>
      <c r="L204" s="332" t="n"/>
      <c r="M204" s="332" t="n"/>
      <c r="N204" s="332" t="n"/>
      <c r="O204" s="332" t="n"/>
      <c r="P204" s="332" t="n"/>
      <c r="Q204" s="332" t="n"/>
      <c r="R204" s="332" t="n"/>
      <c r="S204" s="332" t="n"/>
    </row>
    <row r="205" ht="15.75" customHeight="1" s="345">
      <c r="A205" s="332" t="n"/>
      <c r="B205" s="338" t="n"/>
      <c r="C205" s="332" t="n"/>
      <c r="D205" s="332" t="n"/>
      <c r="E205" s="332" t="n"/>
      <c r="F205" s="332" t="n"/>
      <c r="G205" s="332" t="n"/>
      <c r="H205" s="332" t="n"/>
      <c r="I205" s="332" t="n"/>
      <c r="J205" s="332" t="n"/>
      <c r="K205" s="332" t="n"/>
      <c r="L205" s="332" t="n"/>
      <c r="M205" s="332" t="n"/>
      <c r="N205" s="332" t="n"/>
      <c r="O205" s="332" t="n"/>
      <c r="P205" s="332" t="n"/>
      <c r="Q205" s="332" t="n"/>
      <c r="R205" s="332" t="n"/>
      <c r="S205" s="332" t="n"/>
    </row>
    <row r="206" ht="15.75" customHeight="1" s="345">
      <c r="A206" s="332" t="n"/>
      <c r="B206" s="338" t="n"/>
      <c r="C206" s="332" t="n"/>
      <c r="D206" s="332" t="n"/>
      <c r="E206" s="332" t="n"/>
      <c r="F206" s="332" t="n"/>
      <c r="G206" s="332" t="n"/>
      <c r="H206" s="332" t="n"/>
      <c r="I206" s="332" t="n"/>
      <c r="J206" s="332" t="n"/>
      <c r="K206" s="332" t="n"/>
      <c r="L206" s="332" t="n"/>
      <c r="M206" s="332" t="n"/>
      <c r="N206" s="332" t="n"/>
      <c r="O206" s="332" t="n"/>
      <c r="P206" s="332" t="n"/>
      <c r="Q206" s="332" t="n"/>
      <c r="R206" s="332" t="n"/>
      <c r="S206" s="332" t="n"/>
    </row>
    <row r="207" ht="15.75" customHeight="1" s="345">
      <c r="A207" s="332" t="n"/>
      <c r="B207" s="338" t="n"/>
      <c r="C207" s="332" t="n"/>
      <c r="D207" s="332" t="n"/>
      <c r="E207" s="332" t="n"/>
      <c r="F207" s="332" t="n"/>
      <c r="G207" s="332" t="n"/>
      <c r="H207" s="332" t="n"/>
      <c r="I207" s="332" t="n"/>
      <c r="J207" s="332" t="n"/>
      <c r="K207" s="332" t="n"/>
      <c r="L207" s="332" t="n"/>
      <c r="M207" s="332" t="n"/>
      <c r="N207" s="332" t="n"/>
      <c r="O207" s="332" t="n"/>
      <c r="P207" s="332" t="n"/>
      <c r="Q207" s="332" t="n"/>
      <c r="R207" s="332" t="n"/>
      <c r="S207" s="332" t="n"/>
    </row>
    <row r="208" ht="15.75" customHeight="1" s="345">
      <c r="A208" s="332" t="n"/>
      <c r="B208" s="338" t="n"/>
      <c r="C208" s="332" t="n"/>
      <c r="D208" s="332" t="n"/>
      <c r="E208" s="332" t="n"/>
      <c r="F208" s="332" t="n"/>
      <c r="G208" s="332" t="n"/>
      <c r="H208" s="332" t="n"/>
      <c r="I208" s="332" t="n"/>
      <c r="J208" s="332" t="n"/>
      <c r="K208" s="332" t="n"/>
      <c r="L208" s="332" t="n"/>
      <c r="M208" s="332" t="n"/>
      <c r="N208" s="332" t="n"/>
      <c r="O208" s="332" t="n"/>
      <c r="P208" s="332" t="n"/>
      <c r="Q208" s="332" t="n"/>
      <c r="R208" s="332" t="n"/>
      <c r="S208" s="332" t="n"/>
    </row>
    <row r="209" ht="15.75" customHeight="1" s="345">
      <c r="A209" s="332" t="n"/>
      <c r="B209" s="338" t="n"/>
      <c r="C209" s="332" t="n"/>
      <c r="D209" s="332" t="n"/>
      <c r="E209" s="332" t="n"/>
      <c r="F209" s="332" t="n"/>
      <c r="G209" s="332" t="n"/>
      <c r="H209" s="332" t="n"/>
      <c r="I209" s="332" t="n"/>
      <c r="J209" s="332" t="n"/>
      <c r="K209" s="332" t="n"/>
      <c r="L209" s="332" t="n"/>
      <c r="M209" s="332" t="n"/>
      <c r="N209" s="332" t="n"/>
      <c r="O209" s="332" t="n"/>
      <c r="P209" s="332" t="n"/>
      <c r="Q209" s="332" t="n"/>
      <c r="R209" s="332" t="n"/>
      <c r="S209" s="332" t="n"/>
    </row>
    <row r="210" ht="15.75" customHeight="1" s="345">
      <c r="A210" s="332" t="n"/>
      <c r="B210" s="338" t="n"/>
      <c r="C210" s="332" t="n"/>
      <c r="D210" s="332" t="n"/>
      <c r="E210" s="332" t="n"/>
      <c r="F210" s="332" t="n"/>
      <c r="G210" s="332" t="n"/>
      <c r="H210" s="332" t="n"/>
      <c r="I210" s="332" t="n"/>
      <c r="J210" s="332" t="n"/>
      <c r="K210" s="332" t="n"/>
      <c r="L210" s="332" t="n"/>
      <c r="M210" s="332" t="n"/>
      <c r="N210" s="332" t="n"/>
      <c r="O210" s="332" t="n"/>
      <c r="P210" s="332" t="n"/>
      <c r="Q210" s="332" t="n"/>
      <c r="R210" s="332" t="n"/>
      <c r="S210" s="332" t="n"/>
    </row>
    <row r="211" ht="15.75" customHeight="1" s="345">
      <c r="A211" s="332" t="n"/>
      <c r="B211" s="338" t="n"/>
      <c r="C211" s="332" t="n"/>
      <c r="D211" s="332" t="n"/>
      <c r="E211" s="332" t="n"/>
      <c r="F211" s="332" t="n"/>
      <c r="G211" s="332" t="n"/>
      <c r="H211" s="332" t="n"/>
      <c r="I211" s="332" t="n"/>
      <c r="J211" s="332" t="n"/>
      <c r="K211" s="332" t="n"/>
      <c r="L211" s="332" t="n"/>
      <c r="M211" s="332" t="n"/>
      <c r="N211" s="332" t="n"/>
      <c r="O211" s="332" t="n"/>
      <c r="P211" s="332" t="n"/>
      <c r="Q211" s="332" t="n"/>
      <c r="R211" s="332" t="n"/>
      <c r="S211" s="332" t="n"/>
    </row>
    <row r="212" ht="15.75" customHeight="1" s="345">
      <c r="A212" s="332" t="n"/>
      <c r="B212" s="338" t="n"/>
      <c r="C212" s="332" t="n"/>
      <c r="D212" s="332" t="n"/>
      <c r="E212" s="332" t="n"/>
      <c r="F212" s="332" t="n"/>
      <c r="G212" s="332" t="n"/>
      <c r="H212" s="332" t="n"/>
      <c r="I212" s="332" t="n"/>
      <c r="J212" s="332" t="n"/>
      <c r="K212" s="332" t="n"/>
      <c r="L212" s="332" t="n"/>
      <c r="M212" s="332" t="n"/>
      <c r="N212" s="332" t="n"/>
      <c r="O212" s="332" t="n"/>
      <c r="P212" s="332" t="n"/>
      <c r="Q212" s="332" t="n"/>
      <c r="R212" s="332" t="n"/>
      <c r="S212" s="332" t="n"/>
    </row>
    <row r="213" ht="15.75" customHeight="1" s="345">
      <c r="A213" s="332" t="n"/>
      <c r="B213" s="338" t="n"/>
      <c r="C213" s="332" t="n"/>
      <c r="D213" s="332" t="n"/>
      <c r="E213" s="332" t="n"/>
      <c r="F213" s="332" t="n"/>
      <c r="G213" s="332" t="n"/>
      <c r="H213" s="332" t="n"/>
      <c r="I213" s="332" t="n"/>
      <c r="J213" s="332" t="n"/>
      <c r="K213" s="332" t="n"/>
      <c r="L213" s="332" t="n"/>
      <c r="M213" s="332" t="n"/>
      <c r="N213" s="332" t="n"/>
      <c r="O213" s="332" t="n"/>
      <c r="P213" s="332" t="n"/>
      <c r="Q213" s="332" t="n"/>
      <c r="R213" s="332" t="n"/>
      <c r="S213" s="332" t="n"/>
    </row>
    <row r="214" ht="15.75" customHeight="1" s="345">
      <c r="A214" s="332" t="n"/>
      <c r="B214" s="338" t="n"/>
      <c r="C214" s="332" t="n"/>
      <c r="D214" s="332" t="n"/>
      <c r="E214" s="332" t="n"/>
      <c r="F214" s="332" t="n"/>
      <c r="G214" s="332" t="n"/>
      <c r="H214" s="332" t="n"/>
      <c r="I214" s="332" t="n"/>
      <c r="J214" s="332" t="n"/>
      <c r="K214" s="332" t="n"/>
      <c r="L214" s="332" t="n"/>
      <c r="M214" s="332" t="n"/>
      <c r="N214" s="332" t="n"/>
      <c r="O214" s="332" t="n"/>
      <c r="P214" s="332" t="n"/>
      <c r="Q214" s="332" t="n"/>
      <c r="R214" s="332" t="n"/>
      <c r="S214" s="332" t="n"/>
    </row>
    <row r="215" ht="15.75" customHeight="1" s="345">
      <c r="A215" s="332" t="n"/>
      <c r="B215" s="338" t="n"/>
      <c r="C215" s="332" t="n"/>
      <c r="D215" s="332" t="n"/>
      <c r="E215" s="332" t="n"/>
      <c r="F215" s="332" t="n"/>
      <c r="G215" s="332" t="n"/>
      <c r="H215" s="332" t="n"/>
      <c r="I215" s="332" t="n"/>
      <c r="J215" s="332" t="n"/>
      <c r="K215" s="332" t="n"/>
      <c r="L215" s="332" t="n"/>
      <c r="M215" s="332" t="n"/>
      <c r="N215" s="332" t="n"/>
      <c r="O215" s="332" t="n"/>
      <c r="P215" s="332" t="n"/>
      <c r="Q215" s="332" t="n"/>
      <c r="R215" s="332" t="n"/>
      <c r="S215" s="332" t="n"/>
    </row>
    <row r="216" ht="15.75" customHeight="1" s="345">
      <c r="A216" s="332" t="n"/>
      <c r="B216" s="338" t="n"/>
      <c r="C216" s="332" t="n"/>
      <c r="D216" s="332" t="n"/>
      <c r="E216" s="332" t="n"/>
      <c r="F216" s="332" t="n"/>
      <c r="G216" s="332" t="n"/>
      <c r="H216" s="332" t="n"/>
      <c r="I216" s="332" t="n"/>
      <c r="J216" s="332" t="n"/>
      <c r="K216" s="332" t="n"/>
      <c r="L216" s="332" t="n"/>
      <c r="M216" s="332" t="n"/>
      <c r="N216" s="332" t="n"/>
      <c r="O216" s="332" t="n"/>
      <c r="P216" s="332" t="n"/>
      <c r="Q216" s="332" t="n"/>
      <c r="R216" s="332" t="n"/>
      <c r="S216" s="332" t="n"/>
    </row>
    <row r="217" ht="15.75" customHeight="1" s="345">
      <c r="A217" s="332" t="n"/>
      <c r="B217" s="338" t="n"/>
      <c r="C217" s="332" t="n"/>
      <c r="D217" s="332" t="n"/>
      <c r="E217" s="332" t="n"/>
      <c r="F217" s="332" t="n"/>
      <c r="G217" s="332" t="n"/>
      <c r="H217" s="332" t="n"/>
      <c r="I217" s="332" t="n"/>
      <c r="J217" s="332" t="n"/>
      <c r="K217" s="332" t="n"/>
      <c r="L217" s="332" t="n"/>
      <c r="M217" s="332" t="n"/>
      <c r="N217" s="332" t="n"/>
      <c r="O217" s="332" t="n"/>
      <c r="P217" s="332" t="n"/>
      <c r="Q217" s="332" t="n"/>
      <c r="R217" s="332" t="n"/>
      <c r="S217" s="332" t="n"/>
    </row>
    <row r="218" ht="15.75" customHeight="1" s="345">
      <c r="A218" s="332" t="n"/>
      <c r="B218" s="338" t="n"/>
      <c r="C218" s="332" t="n"/>
      <c r="D218" s="332" t="n"/>
      <c r="E218" s="332" t="n"/>
      <c r="F218" s="332" t="n"/>
      <c r="G218" s="332" t="n"/>
      <c r="H218" s="332" t="n"/>
      <c r="I218" s="332" t="n"/>
      <c r="J218" s="332" t="n"/>
      <c r="K218" s="332" t="n"/>
      <c r="L218" s="332" t="n"/>
      <c r="M218" s="332" t="n"/>
      <c r="N218" s="332" t="n"/>
      <c r="O218" s="332" t="n"/>
      <c r="P218" s="332" t="n"/>
      <c r="Q218" s="332" t="n"/>
      <c r="R218" s="332" t="n"/>
      <c r="S218" s="332" t="n"/>
    </row>
    <row r="219" ht="15.75" customHeight="1" s="345">
      <c r="A219" s="332" t="n"/>
      <c r="B219" s="338" t="n"/>
      <c r="C219" s="332" t="n"/>
      <c r="D219" s="332" t="n"/>
      <c r="E219" s="332" t="n"/>
      <c r="F219" s="332" t="n"/>
      <c r="G219" s="332" t="n"/>
      <c r="H219" s="332" t="n"/>
      <c r="I219" s="332" t="n"/>
      <c r="J219" s="332" t="n"/>
      <c r="K219" s="332" t="n"/>
      <c r="L219" s="332" t="n"/>
      <c r="M219" s="332" t="n"/>
      <c r="N219" s="332" t="n"/>
      <c r="O219" s="332" t="n"/>
      <c r="P219" s="332" t="n"/>
      <c r="Q219" s="332" t="n"/>
      <c r="R219" s="332" t="n"/>
      <c r="S219" s="332" t="n"/>
    </row>
    <row r="220" ht="15.75" customHeight="1" s="345">
      <c r="A220" s="332" t="n"/>
      <c r="B220" s="338" t="n"/>
      <c r="C220" s="332" t="n"/>
      <c r="D220" s="332" t="n"/>
      <c r="E220" s="332" t="n"/>
      <c r="F220" s="332" t="n"/>
      <c r="G220" s="332" t="n"/>
      <c r="H220" s="332" t="n"/>
      <c r="I220" s="332" t="n"/>
      <c r="J220" s="332" t="n"/>
      <c r="K220" s="332" t="n"/>
      <c r="L220" s="332" t="n"/>
      <c r="M220" s="332" t="n"/>
      <c r="N220" s="332" t="n"/>
      <c r="O220" s="332" t="n"/>
      <c r="P220" s="332" t="n"/>
      <c r="Q220" s="332" t="n"/>
      <c r="R220" s="332" t="n"/>
      <c r="S220" s="332" t="n"/>
    </row>
    <row r="221" ht="15.75" customHeight="1" s="345">
      <c r="A221" s="332" t="n"/>
      <c r="B221" s="338" t="n"/>
      <c r="C221" s="332" t="n"/>
      <c r="D221" s="332" t="n"/>
      <c r="E221" s="332" t="n"/>
      <c r="F221" s="332" t="n"/>
      <c r="G221" s="332" t="n"/>
      <c r="H221" s="332" t="n"/>
      <c r="I221" s="332" t="n"/>
      <c r="J221" s="332" t="n"/>
      <c r="K221" s="332" t="n"/>
      <c r="L221" s="332" t="n"/>
      <c r="M221" s="332" t="n"/>
      <c r="N221" s="332" t="n"/>
      <c r="O221" s="332" t="n"/>
      <c r="P221" s="332" t="n"/>
      <c r="Q221" s="332" t="n"/>
      <c r="R221" s="332" t="n"/>
      <c r="S221" s="332" t="n"/>
    </row>
    <row r="222" ht="15.75" customHeight="1" s="345">
      <c r="A222" s="332" t="n"/>
      <c r="B222" s="338" t="n"/>
      <c r="C222" s="332" t="n"/>
      <c r="D222" s="332" t="n"/>
      <c r="E222" s="332" t="n"/>
      <c r="F222" s="332" t="n"/>
      <c r="G222" s="332" t="n"/>
      <c r="H222" s="332" t="n"/>
      <c r="I222" s="332" t="n"/>
      <c r="J222" s="332" t="n"/>
      <c r="K222" s="332" t="n"/>
      <c r="L222" s="332" t="n"/>
      <c r="M222" s="332" t="n"/>
      <c r="N222" s="332" t="n"/>
      <c r="O222" s="332" t="n"/>
      <c r="P222" s="332" t="n"/>
      <c r="Q222" s="332" t="n"/>
      <c r="R222" s="332" t="n"/>
      <c r="S222" s="332" t="n"/>
    </row>
    <row r="223" ht="15.75" customHeight="1" s="345">
      <c r="A223" s="332" t="n"/>
      <c r="B223" s="338" t="n"/>
      <c r="C223" s="332" t="n"/>
      <c r="D223" s="332" t="n"/>
      <c r="E223" s="332" t="n"/>
      <c r="F223" s="332" t="n"/>
      <c r="G223" s="332" t="n"/>
      <c r="H223" s="332" t="n"/>
      <c r="I223" s="332" t="n"/>
      <c r="J223" s="332" t="n"/>
      <c r="K223" s="332" t="n"/>
      <c r="L223" s="332" t="n"/>
      <c r="M223" s="332" t="n"/>
      <c r="N223" s="332" t="n"/>
      <c r="O223" s="332" t="n"/>
      <c r="P223" s="332" t="n"/>
      <c r="Q223" s="332" t="n"/>
      <c r="R223" s="332" t="n"/>
      <c r="S223" s="332" t="n"/>
    </row>
    <row r="224" ht="15.75" customHeight="1" s="345">
      <c r="A224" s="332" t="n"/>
      <c r="B224" s="338" t="n"/>
      <c r="C224" s="332" t="n"/>
      <c r="D224" s="332" t="n"/>
      <c r="E224" s="332" t="n"/>
      <c r="F224" s="332" t="n"/>
      <c r="G224" s="332" t="n"/>
      <c r="H224" s="332" t="n"/>
      <c r="I224" s="332" t="n"/>
      <c r="J224" s="332" t="n"/>
      <c r="K224" s="332" t="n"/>
      <c r="L224" s="332" t="n"/>
      <c r="M224" s="332" t="n"/>
      <c r="N224" s="332" t="n"/>
      <c r="O224" s="332" t="n"/>
      <c r="P224" s="332" t="n"/>
      <c r="Q224" s="332" t="n"/>
      <c r="R224" s="332" t="n"/>
      <c r="S224" s="332" t="n"/>
    </row>
    <row r="225" ht="15.75" customHeight="1" s="345">
      <c r="A225" s="332" t="n"/>
      <c r="B225" s="338" t="n"/>
      <c r="C225" s="332" t="n"/>
      <c r="D225" s="332" t="n"/>
      <c r="E225" s="332" t="n"/>
      <c r="F225" s="332" t="n"/>
      <c r="G225" s="332" t="n"/>
      <c r="H225" s="332" t="n"/>
      <c r="I225" s="332" t="n"/>
      <c r="J225" s="332" t="n"/>
      <c r="K225" s="332" t="n"/>
      <c r="L225" s="332" t="n"/>
      <c r="M225" s="332" t="n"/>
      <c r="N225" s="332" t="n"/>
      <c r="O225" s="332" t="n"/>
      <c r="P225" s="332" t="n"/>
      <c r="Q225" s="332" t="n"/>
      <c r="R225" s="332" t="n"/>
      <c r="S225" s="332" t="n"/>
    </row>
    <row r="226" ht="15.75" customHeight="1" s="345">
      <c r="A226" s="332" t="n"/>
      <c r="B226" s="338" t="n"/>
      <c r="C226" s="332" t="n"/>
      <c r="D226" s="332" t="n"/>
      <c r="E226" s="332" t="n"/>
      <c r="F226" s="332" t="n"/>
      <c r="G226" s="332" t="n"/>
      <c r="H226" s="332" t="n"/>
      <c r="I226" s="332" t="n"/>
      <c r="J226" s="332" t="n"/>
      <c r="K226" s="332" t="n"/>
      <c r="L226" s="332" t="n"/>
      <c r="M226" s="332" t="n"/>
      <c r="N226" s="332" t="n"/>
      <c r="O226" s="332" t="n"/>
      <c r="P226" s="332" t="n"/>
      <c r="Q226" s="332" t="n"/>
      <c r="R226" s="332" t="n"/>
      <c r="S226" s="332" t="n"/>
    </row>
    <row r="227" ht="15.75" customHeight="1" s="345">
      <c r="A227" s="332" t="n"/>
      <c r="B227" s="338" t="n"/>
      <c r="C227" s="332" t="n"/>
      <c r="D227" s="332" t="n"/>
      <c r="E227" s="332" t="n"/>
      <c r="F227" s="332" t="n"/>
      <c r="G227" s="332" t="n"/>
      <c r="H227" s="332" t="n"/>
      <c r="I227" s="332" t="n"/>
      <c r="J227" s="332" t="n"/>
      <c r="K227" s="332" t="n"/>
      <c r="L227" s="332" t="n"/>
      <c r="M227" s="332" t="n"/>
      <c r="N227" s="332" t="n"/>
      <c r="O227" s="332" t="n"/>
      <c r="P227" s="332" t="n"/>
      <c r="Q227" s="332" t="n"/>
      <c r="R227" s="332" t="n"/>
      <c r="S227" s="332" t="n"/>
    </row>
    <row r="228" ht="15.75" customHeight="1" s="345">
      <c r="A228" s="332" t="n"/>
      <c r="B228" s="338" t="n"/>
      <c r="C228" s="332" t="n"/>
      <c r="D228" s="332" t="n"/>
      <c r="E228" s="332" t="n"/>
      <c r="F228" s="332" t="n"/>
      <c r="G228" s="332" t="n"/>
      <c r="H228" s="332" t="n"/>
      <c r="I228" s="332" t="n"/>
      <c r="J228" s="332" t="n"/>
      <c r="K228" s="332" t="n"/>
      <c r="L228" s="332" t="n"/>
      <c r="M228" s="332" t="n"/>
      <c r="N228" s="332" t="n"/>
      <c r="O228" s="332" t="n"/>
      <c r="P228" s="332" t="n"/>
      <c r="Q228" s="332" t="n"/>
      <c r="R228" s="332" t="n"/>
      <c r="S228" s="332" t="n"/>
    </row>
    <row r="229" ht="15.75" customHeight="1" s="345">
      <c r="A229" s="332" t="n"/>
      <c r="B229" s="338" t="n"/>
      <c r="C229" s="332" t="n"/>
      <c r="D229" s="332" t="n"/>
      <c r="E229" s="332" t="n"/>
      <c r="F229" s="332" t="n"/>
      <c r="G229" s="332" t="n"/>
      <c r="H229" s="332" t="n"/>
      <c r="I229" s="332" t="n"/>
      <c r="J229" s="332" t="n"/>
      <c r="K229" s="332" t="n"/>
      <c r="L229" s="332" t="n"/>
      <c r="M229" s="332" t="n"/>
      <c r="N229" s="332" t="n"/>
      <c r="O229" s="332" t="n"/>
      <c r="P229" s="332" t="n"/>
      <c r="Q229" s="332" t="n"/>
      <c r="R229" s="332" t="n"/>
      <c r="S229" s="332" t="n"/>
    </row>
    <row r="230" ht="15.75" customHeight="1" s="345">
      <c r="A230" s="332" t="n"/>
      <c r="B230" s="338" t="n"/>
      <c r="C230" s="332" t="n"/>
      <c r="D230" s="332" t="n"/>
      <c r="E230" s="332" t="n"/>
      <c r="F230" s="332" t="n"/>
      <c r="G230" s="332" t="n"/>
      <c r="H230" s="332" t="n"/>
      <c r="I230" s="332" t="n"/>
      <c r="J230" s="332" t="n"/>
      <c r="K230" s="332" t="n"/>
      <c r="L230" s="332" t="n"/>
      <c r="M230" s="332" t="n"/>
      <c r="N230" s="332" t="n"/>
      <c r="O230" s="332" t="n"/>
      <c r="P230" s="332" t="n"/>
      <c r="Q230" s="332" t="n"/>
      <c r="R230" s="332" t="n"/>
      <c r="S230" s="332" t="n"/>
    </row>
    <row r="231" ht="15.75" customHeight="1" s="345">
      <c r="A231" s="332" t="n"/>
      <c r="B231" s="338" t="n"/>
      <c r="C231" s="332" t="n"/>
      <c r="D231" s="332" t="n"/>
      <c r="E231" s="332" t="n"/>
      <c r="F231" s="332" t="n"/>
      <c r="G231" s="332" t="n"/>
      <c r="H231" s="332" t="n"/>
      <c r="I231" s="332" t="n"/>
      <c r="J231" s="332" t="n"/>
      <c r="K231" s="332" t="n"/>
      <c r="L231" s="332" t="n"/>
      <c r="M231" s="332" t="n"/>
      <c r="N231" s="332" t="n"/>
      <c r="O231" s="332" t="n"/>
      <c r="P231" s="332" t="n"/>
      <c r="Q231" s="332" t="n"/>
      <c r="R231" s="332" t="n"/>
      <c r="S231" s="332" t="n"/>
    </row>
    <row r="232" ht="15.75" customHeight="1" s="345">
      <c r="A232" s="332" t="n"/>
      <c r="B232" s="338" t="n"/>
      <c r="C232" s="332" t="n"/>
      <c r="D232" s="332" t="n"/>
      <c r="E232" s="332" t="n"/>
      <c r="F232" s="332" t="n"/>
      <c r="G232" s="332" t="n"/>
      <c r="H232" s="332" t="n"/>
      <c r="I232" s="332" t="n"/>
      <c r="J232" s="332" t="n"/>
      <c r="K232" s="332" t="n"/>
      <c r="L232" s="332" t="n"/>
      <c r="M232" s="332" t="n"/>
      <c r="N232" s="332" t="n"/>
      <c r="O232" s="332" t="n"/>
      <c r="P232" s="332" t="n"/>
      <c r="Q232" s="332" t="n"/>
      <c r="R232" s="332" t="n"/>
      <c r="S232" s="332" t="n"/>
    </row>
    <row r="233" ht="15.75" customHeight="1" s="345">
      <c r="A233" s="332" t="n"/>
      <c r="B233" s="338" t="n"/>
      <c r="C233" s="332" t="n"/>
      <c r="D233" s="332" t="n"/>
      <c r="E233" s="332" t="n"/>
      <c r="F233" s="332" t="n"/>
      <c r="G233" s="332" t="n"/>
      <c r="H233" s="332" t="n"/>
      <c r="I233" s="332" t="n"/>
      <c r="J233" s="332" t="n"/>
      <c r="K233" s="332" t="n"/>
      <c r="L233" s="332" t="n"/>
      <c r="M233" s="332" t="n"/>
      <c r="N233" s="332" t="n"/>
      <c r="O233" s="332" t="n"/>
      <c r="P233" s="332" t="n"/>
      <c r="Q233" s="332" t="n"/>
      <c r="R233" s="332" t="n"/>
      <c r="S233" s="332" t="n"/>
    </row>
    <row r="234" ht="15.75" customHeight="1" s="345">
      <c r="A234" s="332" t="n"/>
      <c r="B234" s="338" t="n"/>
      <c r="C234" s="332" t="n"/>
      <c r="D234" s="332" t="n"/>
      <c r="E234" s="332" t="n"/>
      <c r="F234" s="332" t="n"/>
      <c r="G234" s="332" t="n"/>
      <c r="H234" s="332" t="n"/>
      <c r="I234" s="332" t="n"/>
      <c r="J234" s="332" t="n"/>
      <c r="K234" s="332" t="n"/>
      <c r="L234" s="332" t="n"/>
      <c r="M234" s="332" t="n"/>
      <c r="N234" s="332" t="n"/>
      <c r="O234" s="332" t="n"/>
      <c r="P234" s="332" t="n"/>
      <c r="Q234" s="332" t="n"/>
      <c r="R234" s="332" t="n"/>
      <c r="S234" s="332" t="n"/>
    </row>
    <row r="235" ht="15.75" customHeight="1" s="345">
      <c r="A235" s="332" t="n"/>
      <c r="B235" s="338" t="n"/>
      <c r="C235" s="332" t="n"/>
      <c r="D235" s="332" t="n"/>
      <c r="E235" s="332" t="n"/>
      <c r="F235" s="332" t="n"/>
      <c r="G235" s="332" t="n"/>
      <c r="H235" s="332" t="n"/>
      <c r="I235" s="332" t="n"/>
      <c r="J235" s="332" t="n"/>
      <c r="K235" s="332" t="n"/>
      <c r="L235" s="332" t="n"/>
      <c r="M235" s="332" t="n"/>
      <c r="N235" s="332" t="n"/>
      <c r="O235" s="332" t="n"/>
      <c r="P235" s="332" t="n"/>
      <c r="Q235" s="332" t="n"/>
      <c r="R235" s="332" t="n"/>
      <c r="S235" s="332" t="n"/>
    </row>
    <row r="236" ht="15.75" customHeight="1" s="345">
      <c r="A236" s="332" t="n"/>
      <c r="B236" s="338" t="n"/>
      <c r="C236" s="332" t="n"/>
      <c r="D236" s="332" t="n"/>
      <c r="E236" s="332" t="n"/>
      <c r="F236" s="332" t="n"/>
      <c r="G236" s="332" t="n"/>
      <c r="H236" s="332" t="n"/>
      <c r="I236" s="332" t="n"/>
      <c r="J236" s="332" t="n"/>
      <c r="K236" s="332" t="n"/>
      <c r="L236" s="332" t="n"/>
      <c r="M236" s="332" t="n"/>
      <c r="N236" s="332" t="n"/>
      <c r="O236" s="332" t="n"/>
      <c r="P236" s="332" t="n"/>
      <c r="Q236" s="332" t="n"/>
      <c r="R236" s="332" t="n"/>
      <c r="S236" s="332" t="n"/>
    </row>
    <row r="237" ht="15.75" customHeight="1" s="345">
      <c r="A237" s="332" t="n"/>
      <c r="B237" s="338" t="n"/>
      <c r="C237" s="332" t="n"/>
      <c r="D237" s="332" t="n"/>
      <c r="E237" s="332" t="n"/>
      <c r="F237" s="332" t="n"/>
      <c r="G237" s="332" t="n"/>
      <c r="H237" s="332" t="n"/>
      <c r="I237" s="332" t="n"/>
      <c r="J237" s="332" t="n"/>
      <c r="K237" s="332" t="n"/>
      <c r="L237" s="332" t="n"/>
      <c r="M237" s="332" t="n"/>
      <c r="N237" s="332" t="n"/>
      <c r="O237" s="332" t="n"/>
      <c r="P237" s="332" t="n"/>
      <c r="Q237" s="332" t="n"/>
      <c r="R237" s="332" t="n"/>
      <c r="S237" s="332" t="n"/>
    </row>
    <row r="238" ht="15.75" customHeight="1" s="345">
      <c r="A238" s="332" t="n"/>
      <c r="B238" s="338" t="n"/>
      <c r="C238" s="332" t="n"/>
      <c r="D238" s="332" t="n"/>
      <c r="E238" s="332" t="n"/>
      <c r="F238" s="332" t="n"/>
      <c r="G238" s="332" t="n"/>
      <c r="H238" s="332" t="n"/>
      <c r="I238" s="332" t="n"/>
      <c r="J238" s="332" t="n"/>
      <c r="K238" s="332" t="n"/>
      <c r="L238" s="332" t="n"/>
      <c r="M238" s="332" t="n"/>
      <c r="N238" s="332" t="n"/>
      <c r="O238" s="332" t="n"/>
      <c r="P238" s="332" t="n"/>
      <c r="Q238" s="332" t="n"/>
      <c r="R238" s="332" t="n"/>
      <c r="S238" s="332" t="n"/>
    </row>
    <row r="239" ht="15.75" customHeight="1" s="345">
      <c r="A239" s="332" t="n"/>
      <c r="B239" s="338" t="n"/>
      <c r="C239" s="332" t="n"/>
      <c r="D239" s="332" t="n"/>
      <c r="E239" s="332" t="n"/>
      <c r="F239" s="332" t="n"/>
      <c r="G239" s="332" t="n"/>
      <c r="H239" s="332" t="n"/>
      <c r="I239" s="332" t="n"/>
      <c r="J239" s="332" t="n"/>
      <c r="K239" s="332" t="n"/>
      <c r="L239" s="332" t="n"/>
      <c r="M239" s="332" t="n"/>
      <c r="N239" s="332" t="n"/>
      <c r="O239" s="332" t="n"/>
      <c r="P239" s="332" t="n"/>
      <c r="Q239" s="332" t="n"/>
      <c r="R239" s="332" t="n"/>
      <c r="S239" s="332" t="n"/>
    </row>
    <row r="240" ht="15.75" customHeight="1" s="345">
      <c r="A240" s="332" t="n"/>
      <c r="B240" s="338" t="n"/>
      <c r="C240" s="332" t="n"/>
      <c r="D240" s="332" t="n"/>
      <c r="E240" s="332" t="n"/>
      <c r="F240" s="332" t="n"/>
      <c r="G240" s="332" t="n"/>
      <c r="H240" s="332" t="n"/>
      <c r="I240" s="332" t="n"/>
      <c r="J240" s="332" t="n"/>
      <c r="K240" s="332" t="n"/>
      <c r="L240" s="332" t="n"/>
      <c r="M240" s="332" t="n"/>
      <c r="N240" s="332" t="n"/>
      <c r="O240" s="332" t="n"/>
      <c r="P240" s="332" t="n"/>
      <c r="Q240" s="332" t="n"/>
      <c r="R240" s="332" t="n"/>
      <c r="S240" s="332" t="n"/>
    </row>
    <row r="241" ht="15.75" customHeight="1" s="345">
      <c r="A241" s="332" t="n"/>
      <c r="B241" s="338" t="n"/>
      <c r="C241" s="332" t="n"/>
      <c r="D241" s="332" t="n"/>
      <c r="E241" s="332" t="n"/>
      <c r="F241" s="332" t="n"/>
      <c r="G241" s="332" t="n"/>
      <c r="H241" s="332" t="n"/>
      <c r="I241" s="332" t="n"/>
      <c r="J241" s="332" t="n"/>
      <c r="K241" s="332" t="n"/>
      <c r="L241" s="332" t="n"/>
      <c r="M241" s="332" t="n"/>
      <c r="N241" s="332" t="n"/>
      <c r="O241" s="332" t="n"/>
      <c r="P241" s="332" t="n"/>
      <c r="Q241" s="332" t="n"/>
      <c r="R241" s="332" t="n"/>
      <c r="S241" s="332" t="n"/>
    </row>
    <row r="242" ht="15.75" customHeight="1" s="345">
      <c r="A242" s="332" t="n"/>
      <c r="B242" s="338" t="n"/>
      <c r="C242" s="332" t="n"/>
      <c r="D242" s="332" t="n"/>
      <c r="E242" s="332" t="n"/>
      <c r="F242" s="332" t="n"/>
      <c r="G242" s="332" t="n"/>
      <c r="H242" s="332" t="n"/>
      <c r="I242" s="332" t="n"/>
      <c r="J242" s="332" t="n"/>
      <c r="K242" s="332" t="n"/>
      <c r="L242" s="332" t="n"/>
      <c r="M242" s="332" t="n"/>
      <c r="N242" s="332" t="n"/>
      <c r="O242" s="332" t="n"/>
      <c r="P242" s="332" t="n"/>
      <c r="Q242" s="332" t="n"/>
      <c r="R242" s="332" t="n"/>
      <c r="S242" s="332" t="n"/>
    </row>
    <row r="243" ht="15.75" customHeight="1" s="345">
      <c r="A243" s="332" t="n"/>
      <c r="B243" s="338" t="n"/>
      <c r="C243" s="332" t="n"/>
      <c r="D243" s="332" t="n"/>
      <c r="E243" s="332" t="n"/>
      <c r="F243" s="332" t="n"/>
      <c r="G243" s="332" t="n"/>
      <c r="H243" s="332" t="n"/>
      <c r="I243" s="332" t="n"/>
      <c r="J243" s="332" t="n"/>
      <c r="K243" s="332" t="n"/>
      <c r="L243" s="332" t="n"/>
      <c r="M243" s="332" t="n"/>
      <c r="N243" s="332" t="n"/>
      <c r="O243" s="332" t="n"/>
      <c r="P243" s="332" t="n"/>
      <c r="Q243" s="332" t="n"/>
      <c r="R243" s="332" t="n"/>
      <c r="S243" s="332" t="n"/>
    </row>
    <row r="244" ht="15.75" customHeight="1" s="345">
      <c r="A244" s="332" t="n"/>
      <c r="B244" s="338" t="n"/>
      <c r="C244" s="332" t="n"/>
      <c r="D244" s="332" t="n"/>
      <c r="E244" s="332" t="n"/>
      <c r="F244" s="332" t="n"/>
      <c r="G244" s="332" t="n"/>
      <c r="H244" s="332" t="n"/>
      <c r="I244" s="332" t="n"/>
      <c r="J244" s="332" t="n"/>
      <c r="K244" s="332" t="n"/>
      <c r="L244" s="332" t="n"/>
      <c r="M244" s="332" t="n"/>
      <c r="N244" s="332" t="n"/>
      <c r="O244" s="332" t="n"/>
      <c r="P244" s="332" t="n"/>
      <c r="Q244" s="332" t="n"/>
      <c r="R244" s="332" t="n"/>
      <c r="S244" s="332" t="n"/>
    </row>
    <row r="245" ht="15.75" customHeight="1" s="345">
      <c r="A245" s="332" t="n"/>
      <c r="B245" s="338" t="n"/>
      <c r="C245" s="332" t="n"/>
      <c r="D245" s="332" t="n"/>
      <c r="E245" s="332" t="n"/>
      <c r="F245" s="332" t="n"/>
      <c r="G245" s="332" t="n"/>
      <c r="H245" s="332" t="n"/>
      <c r="I245" s="332" t="n"/>
      <c r="J245" s="332" t="n"/>
      <c r="K245" s="332" t="n"/>
      <c r="L245" s="332" t="n"/>
      <c r="M245" s="332" t="n"/>
      <c r="N245" s="332" t="n"/>
      <c r="O245" s="332" t="n"/>
      <c r="P245" s="332" t="n"/>
      <c r="Q245" s="332" t="n"/>
      <c r="R245" s="332" t="n"/>
      <c r="S245" s="332" t="n"/>
    </row>
    <row r="246" ht="15.75" customHeight="1" s="345">
      <c r="A246" s="332" t="n"/>
      <c r="B246" s="338" t="n"/>
      <c r="C246" s="332" t="n"/>
      <c r="D246" s="332" t="n"/>
      <c r="E246" s="332" t="n"/>
      <c r="F246" s="332" t="n"/>
      <c r="G246" s="332" t="n"/>
      <c r="H246" s="332" t="n"/>
      <c r="I246" s="332" t="n"/>
      <c r="J246" s="332" t="n"/>
      <c r="K246" s="332" t="n"/>
      <c r="L246" s="332" t="n"/>
      <c r="M246" s="332" t="n"/>
      <c r="N246" s="332" t="n"/>
      <c r="O246" s="332" t="n"/>
      <c r="P246" s="332" t="n"/>
      <c r="Q246" s="332" t="n"/>
      <c r="R246" s="332" t="n"/>
      <c r="S246" s="332" t="n"/>
    </row>
    <row r="247" ht="15.75" customHeight="1" s="345">
      <c r="A247" s="332" t="n"/>
      <c r="B247" s="338" t="n"/>
      <c r="C247" s="332" t="n"/>
      <c r="D247" s="332" t="n"/>
      <c r="E247" s="332" t="n"/>
      <c r="F247" s="332" t="n"/>
      <c r="G247" s="332" t="n"/>
      <c r="H247" s="332" t="n"/>
      <c r="I247" s="332" t="n"/>
      <c r="J247" s="332" t="n"/>
      <c r="K247" s="332" t="n"/>
      <c r="L247" s="332" t="n"/>
      <c r="M247" s="332" t="n"/>
      <c r="N247" s="332" t="n"/>
      <c r="O247" s="332" t="n"/>
      <c r="P247" s="332" t="n"/>
      <c r="Q247" s="332" t="n"/>
      <c r="R247" s="332" t="n"/>
      <c r="S247" s="332" t="n"/>
    </row>
    <row r="248" ht="15.75" customHeight="1" s="345">
      <c r="A248" s="332" t="n"/>
      <c r="B248" s="338" t="n"/>
      <c r="C248" s="332" t="n"/>
      <c r="D248" s="332" t="n"/>
      <c r="E248" s="332" t="n"/>
      <c r="F248" s="332" t="n"/>
      <c r="G248" s="332" t="n"/>
      <c r="H248" s="332" t="n"/>
      <c r="I248" s="332" t="n"/>
      <c r="J248" s="332" t="n"/>
      <c r="K248" s="332" t="n"/>
      <c r="L248" s="332" t="n"/>
      <c r="M248" s="332" t="n"/>
      <c r="N248" s="332" t="n"/>
      <c r="O248" s="332" t="n"/>
      <c r="P248" s="332" t="n"/>
      <c r="Q248" s="332" t="n"/>
      <c r="R248" s="332" t="n"/>
      <c r="S248" s="332" t="n"/>
    </row>
    <row r="249" ht="15.75" customHeight="1" s="345">
      <c r="A249" s="332" t="n"/>
      <c r="B249" s="338" t="n"/>
      <c r="C249" s="332" t="n"/>
      <c r="D249" s="332" t="n"/>
      <c r="E249" s="332" t="n"/>
      <c r="F249" s="332" t="n"/>
      <c r="G249" s="332" t="n"/>
      <c r="H249" s="332" t="n"/>
      <c r="I249" s="332" t="n"/>
      <c r="J249" s="332" t="n"/>
      <c r="K249" s="332" t="n"/>
      <c r="L249" s="332" t="n"/>
      <c r="M249" s="332" t="n"/>
      <c r="N249" s="332" t="n"/>
      <c r="O249" s="332" t="n"/>
      <c r="P249" s="332" t="n"/>
      <c r="Q249" s="332" t="n"/>
      <c r="R249" s="332" t="n"/>
      <c r="S249" s="332" t="n"/>
    </row>
    <row r="250" ht="15.75" customHeight="1" s="345">
      <c r="A250" s="332" t="n"/>
      <c r="B250" s="338" t="n"/>
      <c r="C250" s="332" t="n"/>
      <c r="D250" s="332" t="n"/>
      <c r="E250" s="332" t="n"/>
      <c r="F250" s="332" t="n"/>
      <c r="G250" s="332" t="n"/>
      <c r="H250" s="332" t="n"/>
      <c r="I250" s="332" t="n"/>
      <c r="J250" s="332" t="n"/>
      <c r="K250" s="332" t="n"/>
      <c r="L250" s="332" t="n"/>
      <c r="M250" s="332" t="n"/>
      <c r="N250" s="332" t="n"/>
      <c r="O250" s="332" t="n"/>
      <c r="P250" s="332" t="n"/>
      <c r="Q250" s="332" t="n"/>
      <c r="R250" s="332" t="n"/>
      <c r="S250" s="332" t="n"/>
    </row>
    <row r="251" ht="15.75" customHeight="1" s="345">
      <c r="A251" s="332" t="n"/>
      <c r="B251" s="338" t="n"/>
      <c r="C251" s="332" t="n"/>
      <c r="D251" s="332" t="n"/>
      <c r="E251" s="332" t="n"/>
      <c r="F251" s="332" t="n"/>
      <c r="G251" s="332" t="n"/>
      <c r="H251" s="332" t="n"/>
      <c r="I251" s="332" t="n"/>
      <c r="J251" s="332" t="n"/>
      <c r="K251" s="332" t="n"/>
      <c r="L251" s="332" t="n"/>
      <c r="M251" s="332" t="n"/>
      <c r="N251" s="332" t="n"/>
      <c r="O251" s="332" t="n"/>
      <c r="P251" s="332" t="n"/>
      <c r="Q251" s="332" t="n"/>
      <c r="R251" s="332" t="n"/>
      <c r="S251" s="332" t="n"/>
    </row>
    <row r="252" ht="15.75" customHeight="1" s="345">
      <c r="A252" s="332" t="n"/>
      <c r="B252" s="338" t="n"/>
      <c r="C252" s="332" t="n"/>
      <c r="D252" s="332" t="n"/>
      <c r="E252" s="332" t="n"/>
      <c r="F252" s="332" t="n"/>
      <c r="G252" s="332" t="n"/>
      <c r="H252" s="332" t="n"/>
      <c r="I252" s="332" t="n"/>
      <c r="J252" s="332" t="n"/>
      <c r="K252" s="332" t="n"/>
      <c r="L252" s="332" t="n"/>
      <c r="M252" s="332" t="n"/>
      <c r="N252" s="332" t="n"/>
      <c r="O252" s="332" t="n"/>
      <c r="P252" s="332" t="n"/>
      <c r="Q252" s="332" t="n"/>
      <c r="R252" s="332" t="n"/>
      <c r="S252" s="332" t="n"/>
    </row>
    <row r="253" ht="15.75" customHeight="1" s="345">
      <c r="A253" s="332" t="n"/>
      <c r="B253" s="338" t="n"/>
      <c r="C253" s="332" t="n"/>
      <c r="D253" s="332" t="n"/>
      <c r="E253" s="332" t="n"/>
      <c r="F253" s="332" t="n"/>
      <c r="G253" s="332" t="n"/>
      <c r="H253" s="332" t="n"/>
      <c r="I253" s="332" t="n"/>
      <c r="J253" s="332" t="n"/>
      <c r="K253" s="332" t="n"/>
      <c r="L253" s="332" t="n"/>
      <c r="M253" s="332" t="n"/>
      <c r="N253" s="332" t="n"/>
      <c r="O253" s="332" t="n"/>
      <c r="P253" s="332" t="n"/>
      <c r="Q253" s="332" t="n"/>
      <c r="R253" s="332" t="n"/>
      <c r="S253" s="332" t="n"/>
    </row>
    <row r="254" ht="15.75" customHeight="1" s="345">
      <c r="A254" s="332" t="n"/>
      <c r="B254" s="338" t="n"/>
      <c r="C254" s="332" t="n"/>
      <c r="D254" s="332" t="n"/>
      <c r="E254" s="332" t="n"/>
      <c r="F254" s="332" t="n"/>
      <c r="G254" s="332" t="n"/>
      <c r="H254" s="332" t="n"/>
      <c r="I254" s="332" t="n"/>
      <c r="J254" s="332" t="n"/>
      <c r="K254" s="332" t="n"/>
      <c r="L254" s="332" t="n"/>
      <c r="M254" s="332" t="n"/>
      <c r="N254" s="332" t="n"/>
      <c r="O254" s="332" t="n"/>
      <c r="P254" s="332" t="n"/>
      <c r="Q254" s="332" t="n"/>
      <c r="R254" s="332" t="n"/>
      <c r="S254" s="332" t="n"/>
    </row>
    <row r="255" ht="15.75" customHeight="1" s="345">
      <c r="A255" s="332" t="n"/>
      <c r="B255" s="338" t="n"/>
      <c r="C255" s="332" t="n"/>
      <c r="D255" s="332" t="n"/>
      <c r="E255" s="332" t="n"/>
      <c r="F255" s="332" t="n"/>
      <c r="G255" s="332" t="n"/>
      <c r="H255" s="332" t="n"/>
      <c r="I255" s="332" t="n"/>
      <c r="J255" s="332" t="n"/>
      <c r="K255" s="332" t="n"/>
      <c r="L255" s="332" t="n"/>
      <c r="M255" s="332" t="n"/>
      <c r="N255" s="332" t="n"/>
      <c r="O255" s="332" t="n"/>
      <c r="P255" s="332" t="n"/>
      <c r="Q255" s="332" t="n"/>
      <c r="R255" s="332" t="n"/>
      <c r="S255" s="332" t="n"/>
    </row>
    <row r="256" ht="15.75" customHeight="1" s="345">
      <c r="A256" s="332" t="n"/>
      <c r="B256" s="338" t="n"/>
      <c r="C256" s="332" t="n"/>
      <c r="D256" s="332" t="n"/>
      <c r="E256" s="332" t="n"/>
      <c r="F256" s="332" t="n"/>
      <c r="G256" s="332" t="n"/>
      <c r="H256" s="332" t="n"/>
      <c r="I256" s="332" t="n"/>
      <c r="J256" s="332" t="n"/>
      <c r="K256" s="332" t="n"/>
      <c r="L256" s="332" t="n"/>
      <c r="M256" s="332" t="n"/>
      <c r="N256" s="332" t="n"/>
      <c r="O256" s="332" t="n"/>
      <c r="P256" s="332" t="n"/>
      <c r="Q256" s="332" t="n"/>
      <c r="R256" s="332" t="n"/>
      <c r="S256" s="332" t="n"/>
    </row>
    <row r="257" ht="15.75" customHeight="1" s="345">
      <c r="A257" s="332" t="n"/>
      <c r="B257" s="338" t="n"/>
      <c r="C257" s="332" t="n"/>
      <c r="D257" s="332" t="n"/>
      <c r="E257" s="332" t="n"/>
      <c r="F257" s="332" t="n"/>
      <c r="G257" s="332" t="n"/>
      <c r="H257" s="332" t="n"/>
      <c r="I257" s="332" t="n"/>
      <c r="J257" s="332" t="n"/>
      <c r="K257" s="332" t="n"/>
      <c r="L257" s="332" t="n"/>
      <c r="M257" s="332" t="n"/>
      <c r="N257" s="332" t="n"/>
      <c r="O257" s="332" t="n"/>
      <c r="P257" s="332" t="n"/>
      <c r="Q257" s="332" t="n"/>
      <c r="R257" s="332" t="n"/>
      <c r="S257" s="332" t="n"/>
    </row>
    <row r="258" ht="15.75" customHeight="1" s="345">
      <c r="A258" s="332" t="n"/>
      <c r="B258" s="338" t="n"/>
      <c r="C258" s="332" t="n"/>
      <c r="D258" s="332" t="n"/>
      <c r="E258" s="332" t="n"/>
      <c r="F258" s="332" t="n"/>
      <c r="G258" s="332" t="n"/>
      <c r="H258" s="332" t="n"/>
      <c r="I258" s="332" t="n"/>
      <c r="J258" s="332" t="n"/>
      <c r="K258" s="332" t="n"/>
      <c r="L258" s="332" t="n"/>
      <c r="M258" s="332" t="n"/>
      <c r="N258" s="332" t="n"/>
      <c r="O258" s="332" t="n"/>
      <c r="P258" s="332" t="n"/>
      <c r="Q258" s="332" t="n"/>
      <c r="R258" s="332" t="n"/>
      <c r="S258" s="332" t="n"/>
    </row>
    <row r="259" ht="15.75" customHeight="1" s="345">
      <c r="A259" s="332" t="n"/>
      <c r="B259" s="338" t="n"/>
      <c r="C259" s="332" t="n"/>
      <c r="D259" s="332" t="n"/>
      <c r="E259" s="332" t="n"/>
      <c r="F259" s="332" t="n"/>
      <c r="G259" s="332" t="n"/>
      <c r="H259" s="332" t="n"/>
      <c r="I259" s="332" t="n"/>
      <c r="J259" s="332" t="n"/>
      <c r="K259" s="332" t="n"/>
      <c r="L259" s="332" t="n"/>
      <c r="M259" s="332" t="n"/>
      <c r="N259" s="332" t="n"/>
      <c r="O259" s="332" t="n"/>
      <c r="P259" s="332" t="n"/>
      <c r="Q259" s="332" t="n"/>
      <c r="R259" s="332" t="n"/>
      <c r="S259" s="332" t="n"/>
    </row>
    <row r="260" ht="15.75" customHeight="1" s="345">
      <c r="A260" s="332" t="n"/>
      <c r="B260" s="338" t="n"/>
      <c r="C260" s="332" t="n"/>
      <c r="D260" s="332" t="n"/>
      <c r="E260" s="332" t="n"/>
      <c r="F260" s="332" t="n"/>
      <c r="G260" s="332" t="n"/>
      <c r="H260" s="332" t="n"/>
      <c r="I260" s="332" t="n"/>
      <c r="J260" s="332" t="n"/>
      <c r="K260" s="332" t="n"/>
      <c r="L260" s="332" t="n"/>
      <c r="M260" s="332" t="n"/>
      <c r="N260" s="332" t="n"/>
      <c r="O260" s="332" t="n"/>
      <c r="P260" s="332" t="n"/>
      <c r="Q260" s="332" t="n"/>
      <c r="R260" s="332" t="n"/>
      <c r="S260" s="332" t="n"/>
    </row>
    <row r="261" ht="15.75" customHeight="1" s="345">
      <c r="A261" s="332" t="n"/>
      <c r="B261" s="338" t="n"/>
      <c r="C261" s="332" t="n"/>
      <c r="D261" s="332" t="n"/>
      <c r="E261" s="332" t="n"/>
      <c r="F261" s="332" t="n"/>
      <c r="G261" s="332" t="n"/>
      <c r="H261" s="332" t="n"/>
      <c r="I261" s="332" t="n"/>
      <c r="J261" s="332" t="n"/>
      <c r="K261" s="332" t="n"/>
      <c r="L261" s="332" t="n"/>
      <c r="M261" s="332" t="n"/>
      <c r="N261" s="332" t="n"/>
      <c r="O261" s="332" t="n"/>
      <c r="P261" s="332" t="n"/>
      <c r="Q261" s="332" t="n"/>
      <c r="R261" s="332" t="n"/>
      <c r="S261" s="332" t="n"/>
    </row>
    <row r="262" ht="15.75" customHeight="1" s="345">
      <c r="A262" s="332" t="n"/>
      <c r="B262" s="338" t="n"/>
      <c r="C262" s="332" t="n"/>
      <c r="D262" s="332" t="n"/>
      <c r="E262" s="332" t="n"/>
      <c r="F262" s="332" t="n"/>
      <c r="G262" s="332" t="n"/>
      <c r="H262" s="332" t="n"/>
      <c r="I262" s="332" t="n"/>
      <c r="J262" s="332" t="n"/>
      <c r="K262" s="332" t="n"/>
      <c r="L262" s="332" t="n"/>
      <c r="M262" s="332" t="n"/>
      <c r="N262" s="332" t="n"/>
      <c r="O262" s="332" t="n"/>
      <c r="P262" s="332" t="n"/>
      <c r="Q262" s="332" t="n"/>
      <c r="R262" s="332" t="n"/>
      <c r="S262" s="332" t="n"/>
    </row>
    <row r="263" ht="15.75" customHeight="1" s="345">
      <c r="A263" s="332" t="n"/>
      <c r="B263" s="338" t="n"/>
      <c r="C263" s="332" t="n"/>
      <c r="D263" s="332" t="n"/>
      <c r="E263" s="332" t="n"/>
      <c r="F263" s="332" t="n"/>
      <c r="G263" s="332" t="n"/>
      <c r="H263" s="332" t="n"/>
      <c r="I263" s="332" t="n"/>
      <c r="J263" s="332" t="n"/>
      <c r="K263" s="332" t="n"/>
      <c r="L263" s="332" t="n"/>
      <c r="M263" s="332" t="n"/>
      <c r="N263" s="332" t="n"/>
      <c r="O263" s="332" t="n"/>
      <c r="P263" s="332" t="n"/>
      <c r="Q263" s="332" t="n"/>
      <c r="R263" s="332" t="n"/>
      <c r="S263" s="332" t="n"/>
    </row>
    <row r="264" ht="15.75" customHeight="1" s="345">
      <c r="A264" s="332" t="n"/>
      <c r="B264" s="338" t="n"/>
      <c r="C264" s="332" t="n"/>
      <c r="D264" s="332" t="n"/>
      <c r="E264" s="332" t="n"/>
      <c r="F264" s="332" t="n"/>
      <c r="G264" s="332" t="n"/>
      <c r="H264" s="332" t="n"/>
      <c r="I264" s="332" t="n"/>
      <c r="J264" s="332" t="n"/>
      <c r="K264" s="332" t="n"/>
      <c r="L264" s="332" t="n"/>
      <c r="M264" s="332" t="n"/>
      <c r="N264" s="332" t="n"/>
      <c r="O264" s="332" t="n"/>
      <c r="P264" s="332" t="n"/>
      <c r="Q264" s="332" t="n"/>
      <c r="R264" s="332" t="n"/>
      <c r="S264" s="332" t="n"/>
    </row>
    <row r="265" ht="15.75" customHeight="1" s="345">
      <c r="A265" s="332" t="n"/>
      <c r="B265" s="338" t="n"/>
      <c r="C265" s="332" t="n"/>
      <c r="D265" s="332" t="n"/>
      <c r="E265" s="332" t="n"/>
      <c r="F265" s="332" t="n"/>
      <c r="G265" s="332" t="n"/>
      <c r="H265" s="332" t="n"/>
      <c r="I265" s="332" t="n"/>
      <c r="J265" s="332" t="n"/>
      <c r="K265" s="332" t="n"/>
      <c r="L265" s="332" t="n"/>
      <c r="M265" s="332" t="n"/>
      <c r="N265" s="332" t="n"/>
      <c r="O265" s="332" t="n"/>
      <c r="P265" s="332" t="n"/>
      <c r="Q265" s="332" t="n"/>
      <c r="R265" s="332" t="n"/>
      <c r="S265" s="332" t="n"/>
    </row>
    <row r="266" ht="15.75" customHeight="1" s="345">
      <c r="A266" s="332" t="n"/>
      <c r="B266" s="338" t="n"/>
      <c r="C266" s="332" t="n"/>
      <c r="D266" s="332" t="n"/>
      <c r="E266" s="332" t="n"/>
      <c r="F266" s="332" t="n"/>
      <c r="G266" s="332" t="n"/>
      <c r="H266" s="332" t="n"/>
      <c r="I266" s="332" t="n"/>
      <c r="J266" s="332" t="n"/>
      <c r="K266" s="332" t="n"/>
      <c r="L266" s="332" t="n"/>
      <c r="M266" s="332" t="n"/>
      <c r="N266" s="332" t="n"/>
      <c r="O266" s="332" t="n"/>
      <c r="P266" s="332" t="n"/>
      <c r="Q266" s="332" t="n"/>
      <c r="R266" s="332" t="n"/>
      <c r="S266" s="332" t="n"/>
    </row>
    <row r="267" ht="15.75" customHeight="1" s="345">
      <c r="A267" s="332" t="n"/>
      <c r="B267" s="338" t="n"/>
      <c r="C267" s="332" t="n"/>
      <c r="D267" s="332" t="n"/>
      <c r="E267" s="332" t="n"/>
      <c r="F267" s="332" t="n"/>
      <c r="G267" s="332" t="n"/>
      <c r="H267" s="332" t="n"/>
      <c r="I267" s="332" t="n"/>
      <c r="J267" s="332" t="n"/>
      <c r="K267" s="332" t="n"/>
      <c r="L267" s="332" t="n"/>
      <c r="M267" s="332" t="n"/>
      <c r="N267" s="332" t="n"/>
      <c r="O267" s="332" t="n"/>
      <c r="P267" s="332" t="n"/>
      <c r="Q267" s="332" t="n"/>
      <c r="R267" s="332" t="n"/>
      <c r="S267" s="332" t="n"/>
    </row>
    <row r="268" ht="15.75" customHeight="1" s="345">
      <c r="A268" s="332" t="n"/>
      <c r="B268" s="338" t="n"/>
      <c r="C268" s="332" t="n"/>
      <c r="D268" s="332" t="n"/>
      <c r="E268" s="332" t="n"/>
      <c r="F268" s="332" t="n"/>
      <c r="G268" s="332" t="n"/>
      <c r="H268" s="332" t="n"/>
      <c r="I268" s="332" t="n"/>
      <c r="J268" s="332" t="n"/>
      <c r="K268" s="332" t="n"/>
      <c r="L268" s="332" t="n"/>
      <c r="M268" s="332" t="n"/>
      <c r="N268" s="332" t="n"/>
      <c r="O268" s="332" t="n"/>
      <c r="P268" s="332" t="n"/>
      <c r="Q268" s="332" t="n"/>
      <c r="R268" s="332" t="n"/>
      <c r="S268" s="332" t="n"/>
    </row>
    <row r="269" ht="15.75" customHeight="1" s="345"/>
    <row r="270" ht="15.75" customHeight="1" s="345"/>
    <row r="271" ht="15.75" customHeight="1" s="345"/>
    <row r="272" ht="15.75" customHeight="1" s="345"/>
    <row r="273" ht="15.75" customHeight="1" s="345"/>
    <row r="274" ht="15.75" customHeight="1" s="345"/>
    <row r="275" ht="15.75" customHeight="1" s="345"/>
    <row r="276" ht="15.75" customHeight="1" s="345"/>
    <row r="277" ht="15.75" customHeight="1" s="345"/>
    <row r="278" ht="15.75" customHeight="1" s="345"/>
    <row r="279" ht="15.75" customHeight="1" s="345"/>
    <row r="280" ht="15.75" customHeight="1" s="345"/>
    <row r="281" ht="15.75" customHeight="1" s="345"/>
    <row r="282" ht="15.75" customHeight="1" s="345"/>
    <row r="283" ht="15.75" customHeight="1" s="345"/>
    <row r="284" ht="15.75" customHeight="1" s="345"/>
    <row r="285" ht="15.75" customHeight="1" s="345"/>
    <row r="286" ht="15.75" customHeight="1" s="345"/>
    <row r="287" ht="15.75" customHeight="1" s="345"/>
    <row r="288" ht="15.75" customHeight="1" s="345"/>
    <row r="289" ht="15.75" customHeight="1" s="345"/>
    <row r="290" ht="15.75" customHeight="1" s="345"/>
    <row r="291" ht="15.75" customHeight="1" s="345"/>
    <row r="292" ht="15.75" customHeight="1" s="345"/>
    <row r="293" ht="15.75" customHeight="1" s="345"/>
    <row r="294" ht="15.75" customHeight="1" s="345"/>
    <row r="295" ht="15.75" customHeight="1" s="345"/>
    <row r="296" ht="15.75" customHeight="1" s="345"/>
    <row r="297" ht="15.75" customHeight="1" s="345"/>
    <row r="298" ht="15.75" customHeight="1" s="345"/>
    <row r="299" ht="15.75" customHeight="1" s="345"/>
    <row r="300" ht="15.75" customHeight="1" s="345"/>
    <row r="301" ht="15.75" customHeight="1" s="345"/>
    <row r="302" ht="15.75" customHeight="1" s="345"/>
    <row r="303" ht="15.75" customHeight="1" s="345"/>
    <row r="304" ht="15.75" customHeight="1" s="345"/>
    <row r="305" ht="15.75" customHeight="1" s="345"/>
    <row r="306" ht="15.75" customHeight="1" s="345"/>
    <row r="307" ht="15.75" customHeight="1" s="345"/>
    <row r="308" ht="15.75" customHeight="1" s="345"/>
    <row r="309" ht="15.75" customHeight="1" s="345"/>
    <row r="310" ht="15.75" customHeight="1" s="345"/>
    <row r="311" ht="15.75" customHeight="1" s="345"/>
    <row r="312" ht="15.75" customHeight="1" s="345"/>
    <row r="313" ht="15.75" customHeight="1" s="345"/>
    <row r="314" ht="15.75" customHeight="1" s="345"/>
    <row r="315" ht="15.75" customHeight="1" s="345"/>
    <row r="316" ht="15.75" customHeight="1" s="345"/>
    <row r="317" ht="15.75" customHeight="1" s="345"/>
    <row r="318" ht="15.75" customHeight="1" s="345"/>
    <row r="319" ht="15.75" customHeight="1" s="345"/>
    <row r="320" ht="15.75" customHeight="1" s="345"/>
    <row r="321" ht="15.75" customHeight="1" s="345"/>
    <row r="322" ht="15.75" customHeight="1" s="345"/>
    <row r="323" ht="15.75" customHeight="1" s="345"/>
    <row r="324" ht="15.75" customHeight="1" s="345"/>
    <row r="325" ht="15.75" customHeight="1" s="345"/>
    <row r="326" ht="15.75" customHeight="1" s="345"/>
    <row r="327" ht="15.75" customHeight="1" s="345"/>
    <row r="328" ht="15.75" customHeight="1" s="345"/>
    <row r="329" ht="15.75" customHeight="1" s="345"/>
    <row r="330" ht="15.75" customHeight="1" s="345"/>
    <row r="331" ht="15.75" customHeight="1" s="345"/>
    <row r="332" ht="15.75" customHeight="1" s="345"/>
    <row r="333" ht="15.75" customHeight="1" s="345"/>
    <row r="334" ht="15.75" customHeight="1" s="345"/>
    <row r="335" ht="15.75" customHeight="1" s="345"/>
    <row r="336" ht="15.75" customHeight="1" s="345"/>
    <row r="337" ht="15.75" customHeight="1" s="345"/>
    <row r="338" ht="15.75" customHeight="1" s="345"/>
    <row r="339" ht="15.75" customHeight="1" s="345"/>
    <row r="340" ht="15.75" customHeight="1" s="345"/>
    <row r="341" ht="15.75" customHeight="1" s="345"/>
    <row r="342" ht="15.75" customHeight="1" s="345"/>
    <row r="343" ht="15.75" customHeight="1" s="345"/>
    <row r="344" ht="15.75" customHeight="1" s="345"/>
    <row r="345" ht="15.75" customHeight="1" s="345"/>
    <row r="346" ht="15.75" customHeight="1" s="345"/>
    <row r="347" ht="15.75" customHeight="1" s="345"/>
    <row r="348" ht="15.75" customHeight="1" s="345"/>
    <row r="349" ht="15.75" customHeight="1" s="345"/>
    <row r="350" ht="15.75" customHeight="1" s="345"/>
    <row r="351" ht="15.75" customHeight="1" s="345"/>
    <row r="352" ht="15.75" customHeight="1" s="345"/>
    <row r="353" ht="15.75" customHeight="1" s="345"/>
    <row r="354" ht="15.75" customHeight="1" s="345"/>
    <row r="355" ht="15.75" customHeight="1" s="345"/>
    <row r="356" ht="15.75" customHeight="1" s="345"/>
    <row r="357" ht="15.75" customHeight="1" s="345"/>
    <row r="358" ht="15.75" customHeight="1" s="345"/>
    <row r="359" ht="15.75" customHeight="1" s="345"/>
    <row r="360" ht="15.75" customHeight="1" s="345"/>
    <row r="361" ht="15.75" customHeight="1" s="345"/>
    <row r="362" ht="15.75" customHeight="1" s="345"/>
    <row r="363" ht="15.75" customHeight="1" s="345"/>
    <row r="364" ht="15.75" customHeight="1" s="345"/>
    <row r="365" ht="15.75" customHeight="1" s="345"/>
    <row r="366" ht="15.75" customHeight="1" s="345"/>
    <row r="367" ht="15.75" customHeight="1" s="345"/>
    <row r="368" ht="15.75" customHeight="1" s="345"/>
    <row r="369" ht="15.75" customHeight="1" s="345"/>
    <row r="370" ht="15.75" customHeight="1" s="345"/>
    <row r="371" ht="15.75" customHeight="1" s="345"/>
    <row r="372" ht="15.75" customHeight="1" s="345"/>
    <row r="373" ht="15.75" customHeight="1" s="345"/>
    <row r="374" ht="15.75" customHeight="1" s="345"/>
    <row r="375" ht="15.75" customHeight="1" s="345"/>
    <row r="376" ht="15.75" customHeight="1" s="345"/>
    <row r="377" ht="15.75" customHeight="1" s="345"/>
    <row r="378" ht="15.75" customHeight="1" s="345"/>
    <row r="379" ht="15.75" customHeight="1" s="345"/>
    <row r="380" ht="15.75" customHeight="1" s="345"/>
    <row r="381" ht="15.75" customHeight="1" s="345"/>
    <row r="382" ht="15.75" customHeight="1" s="345"/>
    <row r="383" ht="15.75" customHeight="1" s="345"/>
    <row r="384" ht="15.75" customHeight="1" s="345"/>
    <row r="385" ht="15.75" customHeight="1" s="345"/>
    <row r="386" ht="15.75" customHeight="1" s="345"/>
    <row r="387" ht="15.75" customHeight="1" s="345"/>
    <row r="388" ht="15.75" customHeight="1" s="345"/>
    <row r="389" ht="15.75" customHeight="1" s="345"/>
    <row r="390" ht="15.75" customHeight="1" s="345"/>
    <row r="391" ht="15.75" customHeight="1" s="345"/>
    <row r="392" ht="15.75" customHeight="1" s="345"/>
    <row r="393" ht="15.75" customHeight="1" s="345"/>
    <row r="394" ht="15.75" customHeight="1" s="345"/>
    <row r="395" ht="15.75" customHeight="1" s="345"/>
    <row r="396" ht="15.75" customHeight="1" s="345"/>
    <row r="397" ht="15.75" customHeight="1" s="345"/>
    <row r="398" ht="15.75" customHeight="1" s="345"/>
    <row r="399" ht="15.75" customHeight="1" s="345"/>
    <row r="400" ht="15.75" customHeight="1" s="345"/>
    <row r="401" ht="15.75" customHeight="1" s="345"/>
    <row r="402" ht="15.75" customHeight="1" s="345"/>
    <row r="403" ht="15.75" customHeight="1" s="345"/>
    <row r="404" ht="15.75" customHeight="1" s="345"/>
    <row r="405" ht="15.75" customHeight="1" s="345"/>
    <row r="406" ht="15.75" customHeight="1" s="345"/>
    <row r="407" ht="15.75" customHeight="1" s="345"/>
    <row r="408" ht="15.75" customHeight="1" s="345"/>
    <row r="409" ht="15.75" customHeight="1" s="345"/>
    <row r="410" ht="15.75" customHeight="1" s="345"/>
    <row r="411" ht="15.75" customHeight="1" s="345"/>
    <row r="412" ht="15.75" customHeight="1" s="345"/>
    <row r="413" ht="15.75" customHeight="1" s="345"/>
    <row r="414" ht="15.75" customHeight="1" s="345"/>
    <row r="415" ht="15.75" customHeight="1" s="345"/>
    <row r="416" ht="15.75" customHeight="1" s="345"/>
    <row r="417" ht="15.75" customHeight="1" s="345"/>
    <row r="418" ht="15.75" customHeight="1" s="345"/>
    <row r="419" ht="15.75" customHeight="1" s="345"/>
    <row r="420" ht="15.75" customHeight="1" s="345"/>
    <row r="421" ht="15.75" customHeight="1" s="345"/>
    <row r="422" ht="15.75" customHeight="1" s="345"/>
    <row r="423" ht="15.75" customHeight="1" s="345"/>
    <row r="424" ht="15.75" customHeight="1" s="345"/>
    <row r="425" ht="15.75" customHeight="1" s="345"/>
    <row r="426" ht="15.75" customHeight="1" s="345"/>
    <row r="427" ht="15.75" customHeight="1" s="345"/>
    <row r="428" ht="15.75" customHeight="1" s="345"/>
    <row r="429" ht="15.75" customHeight="1" s="345"/>
    <row r="430" ht="15.75" customHeight="1" s="345"/>
    <row r="431" ht="15.75" customHeight="1" s="345"/>
    <row r="432" ht="15.75" customHeight="1" s="345"/>
    <row r="433" ht="15.75" customHeight="1" s="345"/>
    <row r="434" ht="15.75" customHeight="1" s="345"/>
    <row r="435" ht="15.75" customHeight="1" s="345"/>
    <row r="436" ht="15.75" customHeight="1" s="345"/>
    <row r="437" ht="15.75" customHeight="1" s="345"/>
    <row r="438" ht="15.75" customHeight="1" s="345"/>
    <row r="439" ht="15.75" customHeight="1" s="345"/>
    <row r="440" ht="15.75" customHeight="1" s="345"/>
    <row r="441" ht="15.75" customHeight="1" s="345"/>
    <row r="442" ht="15.75" customHeight="1" s="345"/>
    <row r="443" ht="15.75" customHeight="1" s="345"/>
    <row r="444" ht="15.75" customHeight="1" s="345"/>
    <row r="445" ht="15.75" customHeight="1" s="345"/>
    <row r="446" ht="15.75" customHeight="1" s="345"/>
    <row r="447" ht="15.75" customHeight="1" s="345"/>
    <row r="448" ht="15.75" customHeight="1" s="345"/>
    <row r="449" ht="15.75" customHeight="1" s="345"/>
    <row r="450" ht="15.75" customHeight="1" s="345"/>
    <row r="451" ht="15.75" customHeight="1" s="345"/>
    <row r="452" ht="15.75" customHeight="1" s="345"/>
    <row r="453" ht="15.75" customHeight="1" s="345"/>
    <row r="454" ht="15.75" customHeight="1" s="345"/>
    <row r="455" ht="15.75" customHeight="1" s="345"/>
    <row r="456" ht="15.75" customHeight="1" s="345"/>
    <row r="457" ht="15.75" customHeight="1" s="345"/>
    <row r="458" ht="15.75" customHeight="1" s="345"/>
    <row r="459" ht="15.75" customHeight="1" s="345"/>
    <row r="460" ht="15.75" customHeight="1" s="345"/>
    <row r="461" ht="15.75" customHeight="1" s="345"/>
    <row r="462" ht="15.75" customHeight="1" s="345"/>
    <row r="463" ht="15.75" customHeight="1" s="345"/>
    <row r="464" ht="15.75" customHeight="1" s="345"/>
    <row r="465" ht="15.75" customHeight="1" s="345"/>
    <row r="466" ht="15.75" customHeight="1" s="345"/>
    <row r="467" ht="15.75" customHeight="1" s="345"/>
    <row r="468" ht="15.75" customHeight="1" s="345"/>
    <row r="469" ht="15.75" customHeight="1" s="345"/>
    <row r="470" ht="15.75" customHeight="1" s="345"/>
    <row r="471" ht="15.75" customHeight="1" s="345"/>
    <row r="472" ht="15.75" customHeight="1" s="345"/>
    <row r="473" ht="15.75" customHeight="1" s="345"/>
    <row r="474" ht="15.75" customHeight="1" s="345"/>
    <row r="475" ht="15.75" customHeight="1" s="345"/>
    <row r="476" ht="15.75" customHeight="1" s="345"/>
    <row r="477" ht="15.75" customHeight="1" s="345"/>
    <row r="478" ht="15.75" customHeight="1" s="345"/>
    <row r="479" ht="15.75" customHeight="1" s="345"/>
    <row r="480" ht="15.75" customHeight="1" s="345"/>
    <row r="481" ht="15.75" customHeight="1" s="345"/>
    <row r="482" ht="15.75" customHeight="1" s="345"/>
    <row r="483" ht="15.75" customHeight="1" s="345"/>
    <row r="484" ht="15.75" customHeight="1" s="345"/>
    <row r="485" ht="15.75" customHeight="1" s="345"/>
    <row r="486" ht="15.75" customHeight="1" s="345"/>
    <row r="487" ht="15.75" customHeight="1" s="345"/>
    <row r="488" ht="15.75" customHeight="1" s="345"/>
    <row r="489" ht="15.75" customHeight="1" s="345"/>
    <row r="490" ht="15.75" customHeight="1" s="345"/>
    <row r="491" ht="15.75" customHeight="1" s="345"/>
    <row r="492" ht="15.75" customHeight="1" s="345"/>
    <row r="493" ht="15.75" customHeight="1" s="345"/>
    <row r="494" ht="15.75" customHeight="1" s="345"/>
    <row r="495" ht="15.75" customHeight="1" s="345"/>
    <row r="496" ht="15.75" customHeight="1" s="345"/>
    <row r="497" ht="15.75" customHeight="1" s="345"/>
    <row r="498" ht="15.75" customHeight="1" s="345"/>
    <row r="499" ht="15.75" customHeight="1" s="345"/>
    <row r="500" ht="15.75" customHeight="1" s="345"/>
    <row r="501" ht="15.75" customHeight="1" s="345"/>
    <row r="502" ht="15.75" customHeight="1" s="345"/>
    <row r="503" ht="15.75" customHeight="1" s="345"/>
    <row r="504" ht="15.75" customHeight="1" s="345"/>
    <row r="505" ht="15.75" customHeight="1" s="345"/>
    <row r="506" ht="15.75" customHeight="1" s="345"/>
    <row r="507" ht="15.75" customHeight="1" s="345"/>
    <row r="508" ht="15.75" customHeight="1" s="345"/>
    <row r="509" ht="15.75" customHeight="1" s="345"/>
    <row r="510" ht="15.75" customHeight="1" s="345"/>
    <row r="511" ht="15.75" customHeight="1" s="345"/>
    <row r="512" ht="15.75" customHeight="1" s="345"/>
    <row r="513" ht="15.75" customHeight="1" s="345"/>
    <row r="514" ht="15.75" customHeight="1" s="345"/>
    <row r="515" ht="15.75" customHeight="1" s="345"/>
    <row r="516" ht="15.75" customHeight="1" s="345"/>
    <row r="517" ht="15.75" customHeight="1" s="345"/>
    <row r="518" ht="15.75" customHeight="1" s="345"/>
    <row r="519" ht="15.75" customHeight="1" s="345"/>
    <row r="520" ht="15.75" customHeight="1" s="345"/>
    <row r="521" ht="15.75" customHeight="1" s="345"/>
    <row r="522" ht="15.75" customHeight="1" s="345"/>
    <row r="523" ht="15.75" customHeight="1" s="345"/>
    <row r="524" ht="15.75" customHeight="1" s="345"/>
    <row r="525" ht="15.75" customHeight="1" s="345"/>
    <row r="526" ht="15.75" customHeight="1" s="345"/>
    <row r="527" ht="15.75" customHeight="1" s="345"/>
    <row r="528" ht="15.75" customHeight="1" s="345"/>
    <row r="529" ht="15.75" customHeight="1" s="345"/>
    <row r="530" ht="15.75" customHeight="1" s="345"/>
    <row r="531" ht="15.75" customHeight="1" s="345"/>
    <row r="532" ht="15.75" customHeight="1" s="345"/>
    <row r="533" ht="15.75" customHeight="1" s="345"/>
    <row r="534" ht="15.75" customHeight="1" s="345"/>
    <row r="535" ht="15.75" customHeight="1" s="345"/>
    <row r="536" ht="15.75" customHeight="1" s="345"/>
    <row r="537" ht="15.75" customHeight="1" s="345"/>
    <row r="538" ht="15.75" customHeight="1" s="345"/>
    <row r="539" ht="15.75" customHeight="1" s="345"/>
    <row r="540" ht="15.75" customHeight="1" s="345"/>
    <row r="541" ht="15.75" customHeight="1" s="345"/>
    <row r="542" ht="15.75" customHeight="1" s="345"/>
    <row r="543" ht="15.75" customHeight="1" s="345"/>
    <row r="544" ht="15.75" customHeight="1" s="345"/>
    <row r="545" ht="15.75" customHeight="1" s="345"/>
    <row r="546" ht="15.75" customHeight="1" s="345"/>
    <row r="547" ht="15.75" customHeight="1" s="345"/>
    <row r="548" ht="15.75" customHeight="1" s="345"/>
    <row r="549" ht="15.75" customHeight="1" s="345"/>
    <row r="550" ht="15.75" customHeight="1" s="345"/>
    <row r="551" ht="15.75" customHeight="1" s="345"/>
    <row r="552" ht="15.75" customHeight="1" s="345"/>
    <row r="553" ht="15.75" customHeight="1" s="345"/>
    <row r="554" ht="15.75" customHeight="1" s="345"/>
    <row r="555" ht="15.75" customHeight="1" s="345"/>
    <row r="556" ht="15.75" customHeight="1" s="345"/>
    <row r="557" ht="15.75" customHeight="1" s="345"/>
    <row r="558" ht="15.75" customHeight="1" s="345"/>
    <row r="559" ht="15.75" customHeight="1" s="345"/>
    <row r="560" ht="15.75" customHeight="1" s="345"/>
    <row r="561" ht="15.75" customHeight="1" s="345"/>
    <row r="562" ht="15.75" customHeight="1" s="345"/>
    <row r="563" ht="15.75" customHeight="1" s="345"/>
    <row r="564" ht="15.75" customHeight="1" s="345"/>
    <row r="565" ht="15.75" customHeight="1" s="345"/>
    <row r="566" ht="15.75" customHeight="1" s="345"/>
    <row r="567" ht="15.75" customHeight="1" s="345"/>
    <row r="568" ht="15.75" customHeight="1" s="345"/>
    <row r="569" ht="15.75" customHeight="1" s="345"/>
    <row r="570" ht="15.75" customHeight="1" s="345"/>
    <row r="571" ht="15.75" customHeight="1" s="345"/>
    <row r="572" ht="15.75" customHeight="1" s="345"/>
    <row r="573" ht="15.75" customHeight="1" s="345"/>
    <row r="574" ht="15.75" customHeight="1" s="345"/>
    <row r="575" ht="15.75" customHeight="1" s="345"/>
    <row r="576" ht="15.75" customHeight="1" s="345"/>
    <row r="577" ht="15.75" customHeight="1" s="345"/>
    <row r="578" ht="15.75" customHeight="1" s="345"/>
    <row r="579" ht="15.75" customHeight="1" s="345"/>
    <row r="580" ht="15.75" customHeight="1" s="345"/>
    <row r="581" ht="15.75" customHeight="1" s="345"/>
    <row r="582" ht="15.75" customHeight="1" s="345"/>
    <row r="583" ht="15.75" customHeight="1" s="345"/>
    <row r="584" ht="15.75" customHeight="1" s="345"/>
    <row r="585" ht="15.75" customHeight="1" s="345"/>
    <row r="586" ht="15.75" customHeight="1" s="345"/>
    <row r="587" ht="15.75" customHeight="1" s="345"/>
    <row r="588" ht="15.75" customHeight="1" s="345"/>
    <row r="589" ht="15.75" customHeight="1" s="345"/>
    <row r="590" ht="15.75" customHeight="1" s="345"/>
    <row r="591" ht="15.75" customHeight="1" s="345"/>
    <row r="592" ht="15.75" customHeight="1" s="345"/>
    <row r="593" ht="15.75" customHeight="1" s="345"/>
    <row r="594" ht="15.75" customHeight="1" s="345"/>
    <row r="595" ht="15.75" customHeight="1" s="345"/>
    <row r="596" ht="15.75" customHeight="1" s="345"/>
    <row r="597" ht="15.75" customHeight="1" s="345"/>
    <row r="598" ht="15.75" customHeight="1" s="345"/>
    <row r="599" ht="15.75" customHeight="1" s="345"/>
    <row r="600" ht="15.75" customHeight="1" s="345"/>
    <row r="601" ht="15.75" customHeight="1" s="345"/>
    <row r="602" ht="15.75" customHeight="1" s="345"/>
    <row r="603" ht="15.75" customHeight="1" s="345"/>
    <row r="604" ht="15.75" customHeight="1" s="345"/>
    <row r="605" ht="15.75" customHeight="1" s="345"/>
    <row r="606" ht="15.75" customHeight="1" s="345"/>
    <row r="607" ht="15.75" customHeight="1" s="345"/>
    <row r="608" ht="15.75" customHeight="1" s="345"/>
    <row r="609" ht="15.75" customHeight="1" s="345"/>
    <row r="610" ht="15.75" customHeight="1" s="345"/>
    <row r="611" ht="15.75" customHeight="1" s="345"/>
    <row r="612" ht="15.75" customHeight="1" s="345"/>
    <row r="613" ht="15.75" customHeight="1" s="345"/>
    <row r="614" ht="15.75" customHeight="1" s="345"/>
    <row r="615" ht="15.75" customHeight="1" s="345"/>
    <row r="616" ht="15.75" customHeight="1" s="345"/>
    <row r="617" ht="15.75" customHeight="1" s="345"/>
    <row r="618" ht="15.75" customHeight="1" s="345"/>
    <row r="619" ht="15.75" customHeight="1" s="345"/>
    <row r="620" ht="15.75" customHeight="1" s="345"/>
    <row r="621" ht="15.75" customHeight="1" s="345"/>
    <row r="622" ht="15.75" customHeight="1" s="345"/>
    <row r="623" ht="15.75" customHeight="1" s="345"/>
    <row r="624" ht="15.75" customHeight="1" s="345"/>
    <row r="625" ht="15.75" customHeight="1" s="345"/>
    <row r="626" ht="15.75" customHeight="1" s="345"/>
    <row r="627" ht="15.75" customHeight="1" s="345"/>
    <row r="628" ht="15.75" customHeight="1" s="345"/>
    <row r="629" ht="15.75" customHeight="1" s="345"/>
    <row r="630" ht="15.75" customHeight="1" s="345"/>
    <row r="631" ht="15.75" customHeight="1" s="345"/>
    <row r="632" ht="15.75" customHeight="1" s="345"/>
    <row r="633" ht="15.75" customHeight="1" s="345"/>
    <row r="634" ht="15.75" customHeight="1" s="345"/>
    <row r="635" ht="15.75" customHeight="1" s="345"/>
    <row r="636" ht="15.75" customHeight="1" s="345"/>
    <row r="637" ht="15.75" customHeight="1" s="345"/>
    <row r="638" ht="15.75" customHeight="1" s="345"/>
    <row r="639" ht="15.75" customHeight="1" s="345"/>
    <row r="640" ht="15.75" customHeight="1" s="345"/>
    <row r="641" ht="15.75" customHeight="1" s="345"/>
    <row r="642" ht="15.75" customHeight="1" s="345"/>
    <row r="643" ht="15.75" customHeight="1" s="345"/>
    <row r="644" ht="15.75" customHeight="1" s="345"/>
    <row r="645" ht="15.75" customHeight="1" s="345"/>
    <row r="646" ht="15.75" customHeight="1" s="345"/>
    <row r="647" ht="15.75" customHeight="1" s="345"/>
    <row r="648" ht="15.75" customHeight="1" s="345"/>
    <row r="649" ht="15.75" customHeight="1" s="345"/>
    <row r="650" ht="15.75" customHeight="1" s="345"/>
    <row r="651" ht="15.75" customHeight="1" s="345"/>
    <row r="652" ht="15.75" customHeight="1" s="345"/>
    <row r="653" ht="15.75" customHeight="1" s="345"/>
    <row r="654" ht="15.75" customHeight="1" s="345"/>
    <row r="655" ht="15.75" customHeight="1" s="345"/>
    <row r="656" ht="15.75" customHeight="1" s="345"/>
    <row r="657" ht="15.75" customHeight="1" s="345"/>
    <row r="658" ht="15.75" customHeight="1" s="345"/>
    <row r="659" ht="15.75" customHeight="1" s="345"/>
    <row r="660" ht="15.75" customHeight="1" s="345"/>
    <row r="661" ht="15.75" customHeight="1" s="345"/>
    <row r="662" ht="15.75" customHeight="1" s="345"/>
    <row r="663" ht="15.75" customHeight="1" s="345"/>
    <row r="664" ht="15.75" customHeight="1" s="345"/>
    <row r="665" ht="15.75" customHeight="1" s="345"/>
    <row r="666" ht="15.75" customHeight="1" s="345"/>
    <row r="667" ht="15.75" customHeight="1" s="345"/>
    <row r="668" ht="15.75" customHeight="1" s="345"/>
    <row r="669" ht="15.75" customHeight="1" s="345"/>
    <row r="670" ht="15.75" customHeight="1" s="345"/>
    <row r="671" ht="15.75" customHeight="1" s="345"/>
    <row r="672" ht="15.75" customHeight="1" s="345"/>
    <row r="673" ht="15.75" customHeight="1" s="345"/>
    <row r="674" ht="15.75" customHeight="1" s="345"/>
    <row r="675" ht="15.75" customHeight="1" s="345"/>
    <row r="676" ht="15.75" customHeight="1" s="345"/>
    <row r="677" ht="15.75" customHeight="1" s="345"/>
    <row r="678" ht="15.75" customHeight="1" s="345"/>
    <row r="679" ht="15.75" customHeight="1" s="345"/>
    <row r="680" ht="15.75" customHeight="1" s="345"/>
    <row r="681" ht="15.75" customHeight="1" s="345"/>
    <row r="682" ht="15.75" customHeight="1" s="345"/>
    <row r="683" ht="15.75" customHeight="1" s="345"/>
    <row r="684" ht="15.75" customHeight="1" s="345"/>
    <row r="685" ht="15.75" customHeight="1" s="345"/>
    <row r="686" ht="15.75" customHeight="1" s="345"/>
    <row r="687" ht="15.75" customHeight="1" s="345"/>
    <row r="688" ht="15.75" customHeight="1" s="345"/>
    <row r="689" ht="15.75" customHeight="1" s="345"/>
    <row r="690" ht="15.75" customHeight="1" s="345"/>
    <row r="691" ht="15.75" customHeight="1" s="345"/>
    <row r="692" ht="15.75" customHeight="1" s="345"/>
    <row r="693" ht="15.75" customHeight="1" s="345"/>
    <row r="694" ht="15.75" customHeight="1" s="345"/>
    <row r="695" ht="15.75" customHeight="1" s="345"/>
    <row r="696" ht="15.75" customHeight="1" s="345"/>
    <row r="697" ht="15.75" customHeight="1" s="345"/>
    <row r="698" ht="15.75" customHeight="1" s="345"/>
    <row r="699" ht="15.75" customHeight="1" s="345"/>
    <row r="700" ht="15.75" customHeight="1" s="345"/>
    <row r="701" ht="15.75" customHeight="1" s="345"/>
    <row r="702" ht="15.75" customHeight="1" s="345"/>
    <row r="703" ht="15.75" customHeight="1" s="345"/>
    <row r="704" ht="15.75" customHeight="1" s="345"/>
    <row r="705" ht="15.75" customHeight="1" s="345"/>
    <row r="706" ht="15.75" customHeight="1" s="345"/>
    <row r="707" ht="15.75" customHeight="1" s="345"/>
    <row r="708" ht="15.75" customHeight="1" s="345"/>
    <row r="709" ht="15.75" customHeight="1" s="345"/>
    <row r="710" ht="15.75" customHeight="1" s="345"/>
    <row r="711" ht="15.75" customHeight="1" s="345"/>
    <row r="712" ht="15.75" customHeight="1" s="345"/>
    <row r="713" ht="15.75" customHeight="1" s="345"/>
    <row r="714" ht="15.75" customHeight="1" s="345"/>
    <row r="715" ht="15.75" customHeight="1" s="345"/>
    <row r="716" ht="15.75" customHeight="1" s="345"/>
    <row r="717" ht="15.75" customHeight="1" s="345"/>
    <row r="718" ht="15.75" customHeight="1" s="345"/>
    <row r="719" ht="15.75" customHeight="1" s="345"/>
    <row r="720" ht="15.75" customHeight="1" s="345"/>
    <row r="721" ht="15.75" customHeight="1" s="345"/>
    <row r="722" ht="15.75" customHeight="1" s="345"/>
    <row r="723" ht="15.75" customHeight="1" s="345"/>
    <row r="724" ht="15.75" customHeight="1" s="345"/>
    <row r="725" ht="15.75" customHeight="1" s="345"/>
    <row r="726" ht="15.75" customHeight="1" s="345"/>
    <row r="727" ht="15.75" customHeight="1" s="345"/>
    <row r="728" ht="15.75" customHeight="1" s="345"/>
    <row r="729" ht="15.75" customHeight="1" s="345"/>
    <row r="730" ht="15.75" customHeight="1" s="345"/>
    <row r="731" ht="15.75" customHeight="1" s="345"/>
    <row r="732" ht="15.75" customHeight="1" s="345"/>
    <row r="733" ht="15.75" customHeight="1" s="345"/>
    <row r="734" ht="15.75" customHeight="1" s="345"/>
    <row r="735" ht="15.75" customHeight="1" s="345"/>
    <row r="736" ht="15.75" customHeight="1" s="345"/>
    <row r="737" ht="15.75" customHeight="1" s="345"/>
    <row r="738" ht="15.75" customHeight="1" s="345"/>
    <row r="739" ht="15.75" customHeight="1" s="345"/>
    <row r="740" ht="15.75" customHeight="1" s="345"/>
    <row r="741" ht="15.75" customHeight="1" s="345"/>
    <row r="742" ht="15.75" customHeight="1" s="345"/>
    <row r="743" ht="15.75" customHeight="1" s="345"/>
    <row r="744" ht="15.75" customHeight="1" s="345"/>
    <row r="745" ht="15.75" customHeight="1" s="345"/>
    <row r="746" ht="15.75" customHeight="1" s="345"/>
    <row r="747" ht="15.75" customHeight="1" s="345"/>
    <row r="748" ht="15.75" customHeight="1" s="345"/>
    <row r="749" ht="15.75" customHeight="1" s="345"/>
    <row r="750" ht="15.75" customHeight="1" s="345"/>
    <row r="751" ht="15.75" customHeight="1" s="345"/>
    <row r="752" ht="15.75" customHeight="1" s="345"/>
    <row r="753" ht="15.75" customHeight="1" s="345"/>
    <row r="754" ht="15.75" customHeight="1" s="345"/>
    <row r="755" ht="15.75" customHeight="1" s="345"/>
    <row r="756" ht="15.75" customHeight="1" s="345"/>
    <row r="757" ht="15.75" customHeight="1" s="345"/>
    <row r="758" ht="15.75" customHeight="1" s="345"/>
    <row r="759" ht="15.75" customHeight="1" s="345"/>
    <row r="760" ht="15.75" customHeight="1" s="345"/>
    <row r="761" ht="15.75" customHeight="1" s="345"/>
    <row r="762" ht="15.75" customHeight="1" s="345"/>
    <row r="763" ht="15.75" customHeight="1" s="345"/>
    <row r="764" ht="15.75" customHeight="1" s="345"/>
    <row r="765" ht="15.75" customHeight="1" s="345"/>
    <row r="766" ht="15.75" customHeight="1" s="345"/>
    <row r="767" ht="15.75" customHeight="1" s="345"/>
    <row r="768" ht="15.75" customHeight="1" s="345"/>
    <row r="769" ht="15.75" customHeight="1" s="345"/>
    <row r="770" ht="15.75" customHeight="1" s="345"/>
    <row r="771" ht="15.75" customHeight="1" s="345"/>
    <row r="772" ht="15.75" customHeight="1" s="345"/>
    <row r="773" ht="15.75" customHeight="1" s="345"/>
    <row r="774" ht="15.75" customHeight="1" s="345"/>
    <row r="775" ht="15.75" customHeight="1" s="345"/>
    <row r="776" ht="15.75" customHeight="1" s="345"/>
    <row r="777" ht="15.75" customHeight="1" s="345"/>
    <row r="778" ht="15.75" customHeight="1" s="345"/>
    <row r="779" ht="15.75" customHeight="1" s="345"/>
    <row r="780" ht="15.75" customHeight="1" s="345"/>
    <row r="781" ht="15.75" customHeight="1" s="345"/>
    <row r="782" ht="15.75" customHeight="1" s="345"/>
    <row r="783" ht="15.75" customHeight="1" s="345"/>
    <row r="784" ht="15.75" customHeight="1" s="345"/>
    <row r="785" ht="15.75" customHeight="1" s="345"/>
    <row r="786" ht="15.75" customHeight="1" s="345"/>
    <row r="787" ht="15.75" customHeight="1" s="345"/>
    <row r="788" ht="15.75" customHeight="1" s="345"/>
    <row r="789" ht="15.75" customHeight="1" s="345"/>
    <row r="790" ht="15.75" customHeight="1" s="345"/>
    <row r="791" ht="15.75" customHeight="1" s="345"/>
    <row r="792" ht="15.75" customHeight="1" s="345"/>
    <row r="793" ht="15.75" customHeight="1" s="345"/>
    <row r="794" ht="15.75" customHeight="1" s="345"/>
    <row r="795" ht="15.75" customHeight="1" s="345"/>
    <row r="796" ht="15.75" customHeight="1" s="345"/>
    <row r="797" ht="15.75" customHeight="1" s="345"/>
    <row r="798" ht="15.75" customHeight="1" s="345"/>
    <row r="799" ht="15.75" customHeight="1" s="345"/>
    <row r="800" ht="15.75" customHeight="1" s="345"/>
    <row r="801" ht="15.75" customHeight="1" s="345"/>
    <row r="802" ht="15.75" customHeight="1" s="345"/>
    <row r="803" ht="15.75" customHeight="1" s="345"/>
    <row r="804" ht="15.75" customHeight="1" s="345"/>
    <row r="805" ht="15.75" customHeight="1" s="345"/>
    <row r="806" ht="15.75" customHeight="1" s="345"/>
    <row r="807" ht="15.75" customHeight="1" s="345"/>
    <row r="808" ht="15.75" customHeight="1" s="345"/>
    <row r="809" ht="15.75" customHeight="1" s="345"/>
    <row r="810" ht="15.75" customHeight="1" s="345"/>
    <row r="811" ht="15.75" customHeight="1" s="345"/>
    <row r="812" ht="15.75" customHeight="1" s="345"/>
    <row r="813" ht="15.75" customHeight="1" s="345"/>
    <row r="814" ht="15.75" customHeight="1" s="345"/>
    <row r="815" ht="15.75" customHeight="1" s="345"/>
    <row r="816" ht="15.75" customHeight="1" s="345"/>
    <row r="817" ht="15.75" customHeight="1" s="345"/>
    <row r="818" ht="15.75" customHeight="1" s="345"/>
    <row r="819" ht="15.75" customHeight="1" s="345"/>
    <row r="820" ht="15.75" customHeight="1" s="345"/>
    <row r="821" ht="15.75" customHeight="1" s="345"/>
    <row r="822" ht="15.75" customHeight="1" s="345"/>
    <row r="823" ht="15.75" customHeight="1" s="345"/>
    <row r="824" ht="15.75" customHeight="1" s="345"/>
    <row r="825" ht="15.75" customHeight="1" s="345"/>
    <row r="826" ht="15.75" customHeight="1" s="345"/>
    <row r="827" ht="15.75" customHeight="1" s="345"/>
    <row r="828" ht="15.75" customHeight="1" s="345"/>
    <row r="829" ht="15.75" customHeight="1" s="345"/>
    <row r="830" ht="15.75" customHeight="1" s="345"/>
    <row r="831" ht="15.75" customHeight="1" s="345"/>
    <row r="832" ht="15.75" customHeight="1" s="345"/>
    <row r="833" ht="15.75" customHeight="1" s="345"/>
    <row r="834" ht="15.75" customHeight="1" s="345"/>
    <row r="835" ht="15.75" customHeight="1" s="345"/>
    <row r="836" ht="15.75" customHeight="1" s="345"/>
    <row r="837" ht="15.75" customHeight="1" s="345"/>
    <row r="838" ht="15.75" customHeight="1" s="345"/>
    <row r="839" ht="15.75" customHeight="1" s="345"/>
    <row r="840" ht="15.75" customHeight="1" s="345"/>
    <row r="841" ht="15.75" customHeight="1" s="345"/>
    <row r="842" ht="15.75" customHeight="1" s="345"/>
    <row r="843" ht="15.75" customHeight="1" s="345"/>
    <row r="844" ht="15.75" customHeight="1" s="345"/>
    <row r="845" ht="15.75" customHeight="1" s="345"/>
    <row r="846" ht="15.75" customHeight="1" s="345"/>
    <row r="847" ht="15.75" customHeight="1" s="345"/>
    <row r="848" ht="15.75" customHeight="1" s="345"/>
    <row r="849" ht="15.75" customHeight="1" s="345"/>
    <row r="850" ht="15.75" customHeight="1" s="345"/>
    <row r="851" ht="15.75" customHeight="1" s="345"/>
    <row r="852" ht="15.75" customHeight="1" s="345"/>
    <row r="853" ht="15.75" customHeight="1" s="345"/>
    <row r="854" ht="15.75" customHeight="1" s="345"/>
    <row r="855" ht="15.75" customHeight="1" s="345"/>
    <row r="856" ht="15.75" customHeight="1" s="345"/>
    <row r="857" ht="15.75" customHeight="1" s="345"/>
    <row r="858" ht="15.75" customHeight="1" s="345"/>
    <row r="859" ht="15.75" customHeight="1" s="345"/>
    <row r="860" ht="15.75" customHeight="1" s="345"/>
    <row r="861" ht="15.75" customHeight="1" s="345"/>
    <row r="862" ht="15.75" customHeight="1" s="345"/>
    <row r="863" ht="15.75" customHeight="1" s="345"/>
    <row r="864" ht="15.75" customHeight="1" s="345"/>
    <row r="865" ht="15.75" customHeight="1" s="345"/>
    <row r="866" ht="15.75" customHeight="1" s="345"/>
    <row r="867" ht="15.75" customHeight="1" s="345"/>
    <row r="868" ht="15.75" customHeight="1" s="345"/>
    <row r="869" ht="15.75" customHeight="1" s="345"/>
    <row r="870" ht="15.75" customHeight="1" s="345"/>
    <row r="871" ht="15.75" customHeight="1" s="345"/>
    <row r="872" ht="15.75" customHeight="1" s="345"/>
    <row r="873" ht="15.75" customHeight="1" s="345"/>
    <row r="874" ht="15.75" customHeight="1" s="345"/>
    <row r="875" ht="15.75" customHeight="1" s="345"/>
    <row r="876" ht="15.75" customHeight="1" s="345"/>
    <row r="877" ht="15.75" customHeight="1" s="345"/>
    <row r="878" ht="15.75" customHeight="1" s="345"/>
    <row r="879" ht="15.75" customHeight="1" s="345"/>
    <row r="880" ht="15.75" customHeight="1" s="345"/>
    <row r="881" ht="15.75" customHeight="1" s="345"/>
    <row r="882" ht="15.75" customHeight="1" s="345"/>
    <row r="883" ht="15.75" customHeight="1" s="345"/>
    <row r="884" ht="15.75" customHeight="1" s="345"/>
    <row r="885" ht="15.75" customHeight="1" s="345"/>
    <row r="886" ht="15.75" customHeight="1" s="345"/>
    <row r="887" ht="15.75" customHeight="1" s="345"/>
    <row r="888" ht="15.75" customHeight="1" s="345"/>
    <row r="889" ht="15.75" customHeight="1" s="345"/>
    <row r="890" ht="15.75" customHeight="1" s="345"/>
    <row r="891" ht="15.75" customHeight="1" s="345"/>
    <row r="892" ht="15.75" customHeight="1" s="345"/>
    <row r="893" ht="15.75" customHeight="1" s="345"/>
    <row r="894" ht="15.75" customHeight="1" s="345"/>
    <row r="895" ht="15.75" customHeight="1" s="345"/>
    <row r="896" ht="15.75" customHeight="1" s="345"/>
    <row r="897" ht="15.75" customHeight="1" s="345"/>
    <row r="898" ht="15.75" customHeight="1" s="345"/>
    <row r="899" ht="15.75" customHeight="1" s="345"/>
    <row r="900" ht="15.75" customHeight="1" s="345"/>
    <row r="901" ht="15.75" customHeight="1" s="345"/>
    <row r="902" ht="15.75" customHeight="1" s="345"/>
    <row r="903" ht="15.75" customHeight="1" s="345"/>
    <row r="904" ht="15.75" customHeight="1" s="345"/>
    <row r="905" ht="15.75" customHeight="1" s="345"/>
    <row r="906" ht="15.75" customHeight="1" s="345"/>
    <row r="907" ht="15.75" customHeight="1" s="345"/>
    <row r="908" ht="15.75" customHeight="1" s="345"/>
    <row r="909" ht="15.75" customHeight="1" s="345"/>
    <row r="910" ht="15.75" customHeight="1" s="345"/>
    <row r="911" ht="15.75" customHeight="1" s="345"/>
    <row r="912" ht="15.75" customHeight="1" s="345"/>
    <row r="913" ht="15.75" customHeight="1" s="345"/>
    <row r="914" ht="15.75" customHeight="1" s="345"/>
    <row r="915" ht="15.75" customHeight="1" s="345"/>
    <row r="916" ht="15.75" customHeight="1" s="345"/>
    <row r="917" ht="15.75" customHeight="1" s="345"/>
    <row r="918" ht="15.75" customHeight="1" s="345"/>
    <row r="919" ht="15.75" customHeight="1" s="345"/>
    <row r="920" ht="15.75" customHeight="1" s="345"/>
    <row r="921" ht="15.75" customHeight="1" s="345"/>
    <row r="922" ht="15.75" customHeight="1" s="345"/>
    <row r="923" ht="15.75" customHeight="1" s="345"/>
    <row r="924" ht="15.75" customHeight="1" s="345"/>
    <row r="925" ht="15.75" customHeight="1" s="345"/>
    <row r="926" ht="15.75" customHeight="1" s="345"/>
    <row r="927" ht="15.75" customHeight="1" s="345"/>
    <row r="928" ht="15.75" customHeight="1" s="345"/>
    <row r="929" ht="15.75" customHeight="1" s="345"/>
    <row r="930" ht="15.75" customHeight="1" s="345"/>
    <row r="931" ht="15.75" customHeight="1" s="345"/>
    <row r="932" ht="15.75" customHeight="1" s="345"/>
    <row r="933" ht="15.75" customHeight="1" s="345"/>
    <row r="934" ht="15.75" customHeight="1" s="345"/>
    <row r="935" ht="15.75" customHeight="1" s="345"/>
    <row r="936" ht="15.75" customHeight="1" s="345"/>
    <row r="937" ht="15.75" customHeight="1" s="345"/>
    <row r="938" ht="15.75" customHeight="1" s="345"/>
    <row r="939" ht="15.75" customHeight="1" s="345"/>
    <row r="940" ht="15.75" customHeight="1" s="345"/>
    <row r="941" ht="15.75" customHeight="1" s="345"/>
    <row r="942" ht="15.75" customHeight="1" s="345"/>
    <row r="943" ht="15.75" customHeight="1" s="345"/>
    <row r="944" ht="15.75" customHeight="1" s="345"/>
    <row r="945" ht="15.75" customHeight="1" s="345"/>
    <row r="946" ht="15.75" customHeight="1" s="345"/>
    <row r="947" ht="15.75" customHeight="1" s="345"/>
    <row r="948" ht="15.75" customHeight="1" s="345"/>
    <row r="949" ht="15.75" customHeight="1" s="345"/>
    <row r="950" ht="15.75" customHeight="1" s="345"/>
    <row r="951" ht="15.75" customHeight="1" s="345"/>
    <row r="952" ht="15.75" customHeight="1" s="345"/>
    <row r="953" ht="15.75" customHeight="1" s="345"/>
    <row r="954" ht="15.75" customHeight="1" s="345"/>
    <row r="955" ht="15.75" customHeight="1" s="345"/>
    <row r="956" ht="15.75" customHeight="1" s="345"/>
    <row r="957" ht="15.75" customHeight="1" s="345"/>
    <row r="958" ht="15.75" customHeight="1" s="345"/>
    <row r="959" ht="15.75" customHeight="1" s="345"/>
    <row r="960" ht="15.75" customHeight="1" s="345"/>
    <row r="961" ht="15.75" customHeight="1" s="345"/>
    <row r="962" ht="15.75" customHeight="1" s="345"/>
    <row r="963" ht="15.75" customHeight="1" s="345"/>
    <row r="964" ht="15.75" customHeight="1" s="345"/>
    <row r="965" ht="15.75" customHeight="1" s="345"/>
    <row r="966" ht="15.75" customHeight="1" s="345"/>
    <row r="967" ht="15.75" customHeight="1" s="345"/>
    <row r="968" ht="15.75" customHeight="1" s="345"/>
    <row r="969" ht="15.75" customHeight="1" s="345"/>
    <row r="970" ht="15.75" customHeight="1" s="345"/>
    <row r="971" ht="15.75" customHeight="1" s="345"/>
    <row r="972" ht="15.75" customHeight="1" s="345"/>
    <row r="973" ht="15.75" customHeight="1" s="345"/>
    <row r="974" ht="15.75" customHeight="1" s="345"/>
    <row r="975" ht="15.75" customHeight="1" s="345"/>
    <row r="976" ht="15.75" customHeight="1" s="345"/>
    <row r="977" ht="15.75" customHeight="1" s="345"/>
    <row r="978" ht="15.75" customHeight="1" s="345"/>
    <row r="979" ht="15.75" customHeight="1" s="345"/>
    <row r="980" ht="15.75" customHeight="1" s="345"/>
    <row r="981" ht="15.75" customHeight="1" s="345"/>
    <row r="982" ht="15.75" customHeight="1" s="345"/>
    <row r="983" ht="15.75" customHeight="1" s="345"/>
    <row r="984" ht="15.75" customHeight="1" s="345"/>
    <row r="985" ht="15.75" customHeight="1" s="345"/>
    <row r="986" ht="15.75" customHeight="1" s="345"/>
    <row r="987" ht="15.75" customHeight="1" s="345"/>
    <row r="988" ht="15.75" customHeight="1" s="345"/>
    <row r="989" ht="15.75" customHeight="1" s="345"/>
    <row r="990" ht="15.75" customHeight="1" s="345"/>
    <row r="991" ht="15.75" customHeight="1" s="345"/>
    <row r="992" ht="15.75" customHeight="1" s="345"/>
    <row r="993" ht="15.75" customHeight="1" s="345"/>
    <row r="994" ht="15.75" customHeight="1" s="345"/>
    <row r="995" ht="15.75" customHeight="1" s="345"/>
    <row r="996" ht="15.75" customHeight="1" s="345"/>
    <row r="997" ht="15.75" customHeight="1" s="345"/>
    <row r="998" ht="15.75" customHeight="1" s="345"/>
    <row r="999" ht="15.75" customHeight="1" s="345"/>
    <row r="1000" ht="15.75" customHeight="1" s="345"/>
  </sheetData>
  <mergeCells count="5">
    <mergeCell ref="A2:A9"/>
    <mergeCell ref="A39:A49"/>
    <mergeCell ref="A12:A36"/>
    <mergeCell ref="A52:A60"/>
    <mergeCell ref="A63:A6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22" customWidth="1" style="345" min="1" max="1"/>
    <col width="22" customWidth="1" style="345" min="2" max="2"/>
    <col width="22" customWidth="1" style="345" min="3" max="3"/>
    <col width="22" customWidth="1" style="345" min="4" max="4"/>
    <col width="22" customWidth="1" style="345" min="5" max="5"/>
    <col width="22" customWidth="1" style="345" min="6" max="6"/>
    <col width="22" customWidth="1" style="345" min="7" max="7"/>
    <col width="22" customWidth="1" style="345" min="8" max="8"/>
    <col width="22" customWidth="1" style="345" min="9" max="9"/>
    <col width="22" customWidth="1" style="345" min="10" max="10"/>
    <col width="22" customWidth="1" style="345" min="11" max="11"/>
    <col width="22" customWidth="1" style="345" min="12" max="12"/>
    <col width="40" customWidth="1" style="345" min="13" max="13"/>
    <col width="22" customWidth="1" style="345" min="14" max="14"/>
    <col width="22" customWidth="1" style="345" min="15" max="15"/>
    <col width="22" customWidth="1" style="345" min="16" max="16"/>
    <col width="22" customWidth="1" style="345" min="17" max="17"/>
    <col width="40" customWidth="1" style="345" min="18" max="18"/>
    <col width="40" customWidth="1" style="345" min="19" max="19"/>
    <col width="40" customWidth="1" style="345" min="20" max="20"/>
    <col width="22" customWidth="1" style="345" min="21" max="21"/>
    <col width="22" customWidth="1" style="345" min="22" max="22"/>
    <col width="22" customWidth="1" style="345" min="23" max="23"/>
    <col width="22" customWidth="1" style="345" min="24" max="24"/>
    <col width="22" customWidth="1" style="345" min="25" max="25"/>
    <col width="40" customWidth="1" style="345" min="26" max="26"/>
    <col width="60" customWidth="1" style="345" min="27" max="27"/>
  </cols>
  <sheetData>
    <row r="1">
      <c r="A1" s="354" t="inlineStr">
        <is>
          <t>engagement_id</t>
        </is>
      </c>
      <c r="B1" s="354" t="inlineStr">
        <is>
          <t>created_at</t>
        </is>
      </c>
      <c r="C1" s="354" t="inlineStr">
        <is>
          <t>transcript_filename</t>
        </is>
      </c>
      <c r="D1" s="354" t="inlineStr">
        <is>
          <t>client_company</t>
        </is>
      </c>
      <c r="E1" s="354" t="inlineStr">
        <is>
          <t>coachee_name</t>
        </is>
      </c>
      <c r="F1" s="354" t="inlineStr">
        <is>
          <t>hubspot_deal_id</t>
        </is>
      </c>
      <c r="G1" s="354" t="inlineStr">
        <is>
          <t>coach_name</t>
        </is>
      </c>
      <c r="H1" s="354" t="inlineStr">
        <is>
          <t>tier</t>
        </is>
      </c>
      <c r="I1" s="354" t="inlineStr">
        <is>
          <t>bill_rate</t>
        </is>
      </c>
      <c r="J1" s="354" t="inlineStr">
        <is>
          <t>num_participants</t>
        </is>
      </c>
      <c r="K1" s="354" t="inlineStr">
        <is>
          <t>price_per_participant</t>
        </is>
      </c>
      <c r="L1" s="354" t="inlineStr">
        <is>
          <t>total_engagement_price</t>
        </is>
      </c>
      <c r="M1" s="354" t="inlineStr">
        <is>
          <t>payment_structure</t>
        </is>
      </c>
      <c r="N1" s="354" t="inlineStr">
        <is>
          <t>net_days</t>
        </is>
      </c>
      <c r="O1" s="354" t="inlineStr">
        <is>
          <t>pricing_approval_status</t>
        </is>
      </c>
      <c r="P1" s="354" t="inlineStr">
        <is>
          <t>pricing_approved_by</t>
        </is>
      </c>
      <c r="Q1" s="354" t="inlineStr">
        <is>
          <t>pricing_approved_at</t>
        </is>
      </c>
      <c r="R1" s="354" t="inlineStr">
        <is>
          <t>rationale_doc_url</t>
        </is>
      </c>
      <c r="S1" s="354" t="inlineStr">
        <is>
          <t>calculator_url</t>
        </is>
      </c>
      <c r="T1" s="354" t="inlineStr">
        <is>
          <t>sow_doc_url</t>
        </is>
      </c>
      <c r="U1" s="354" t="inlineStr">
        <is>
          <t>sow_approval_status</t>
        </is>
      </c>
      <c r="V1" s="354" t="inlineStr">
        <is>
          <t>sow_approved_by</t>
        </is>
      </c>
      <c r="W1" s="354" t="inlineStr">
        <is>
          <t>sow_approved_at</t>
        </is>
      </c>
      <c r="X1" s="354" t="inlineStr">
        <is>
          <t>client_email</t>
        </is>
      </c>
      <c r="Y1" s="354" t="inlineStr">
        <is>
          <t>sent_at</t>
        </is>
      </c>
      <c r="Z1" s="354" t="inlineStr">
        <is>
          <t>archive_folder_url</t>
        </is>
      </c>
      <c r="AA1" s="354" t="inlineStr">
        <is>
          <t>full_variables_json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2026-03-10T18:05:06Z</dcterms:created>
  <dcterms:modified xsi:type="dcterms:W3CDTF">2026-03-10T18:05:06Z</dcterms:modified>
</cp:coreProperties>
</file>